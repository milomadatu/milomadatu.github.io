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Report" sheetId="1" r:id="rId5"/>
    <sheet state="visible" name="Online Sales Report" sheetId="2" r:id="rId6"/>
    <sheet state="visible" name="Soft" sheetId="3" r:id="rId7"/>
    <sheet state="visible" name="Mini parent" sheetId="4" r:id="rId8"/>
    <sheet state="visible" name="OC" sheetId="5" r:id="rId9"/>
    <sheet state="visible" name="Diego" sheetId="6" r:id="rId10"/>
    <sheet state="visible" name="Baker" sheetId="7" r:id="rId11"/>
    <sheet state="visible" name="Berna" sheetId="8" r:id="rId12"/>
    <sheet state="visible" name="YBS" sheetId="9" r:id="rId13"/>
  </sheets>
  <definedNames/>
  <calcPr/>
</workbook>
</file>

<file path=xl/sharedStrings.xml><?xml version="1.0" encoding="utf-8"?>
<sst xmlns="http://schemas.openxmlformats.org/spreadsheetml/2006/main" count="638" uniqueCount="193">
  <si>
    <t>Year-End Sales Report</t>
  </si>
  <si>
    <t xml:space="preserve"> </t>
  </si>
  <si>
    <t>Date</t>
  </si>
  <si>
    <t>Month</t>
  </si>
  <si>
    <t>Year 2024-2025</t>
  </si>
  <si>
    <t>Sales Overview</t>
  </si>
  <si>
    <t>Sales Numbers</t>
  </si>
  <si>
    <t>Numbers &amp; Products Sold</t>
  </si>
  <si>
    <t>Total Sales</t>
  </si>
  <si>
    <t>% of Sales</t>
  </si>
  <si>
    <t>Online</t>
  </si>
  <si>
    <t>Soft</t>
  </si>
  <si>
    <t>Mini-Parent</t>
  </si>
  <si>
    <t>OC</t>
  </si>
  <si>
    <t>Diego</t>
  </si>
  <si>
    <t>Bako</t>
  </si>
  <si>
    <t>Dino</t>
  </si>
  <si>
    <t>YBS</t>
  </si>
  <si>
    <t>Total</t>
  </si>
  <si>
    <t>Boba Lover</t>
  </si>
  <si>
    <t>Base</t>
  </si>
  <si>
    <t>Essential - OG Price</t>
  </si>
  <si>
    <t>Total Shipping</t>
  </si>
  <si>
    <t>Essential</t>
  </si>
  <si>
    <t>Total Discounts</t>
  </si>
  <si>
    <t>Morning &amp; Night</t>
  </si>
  <si>
    <t xml:space="preserve">Total  Sales Tax Collected </t>
  </si>
  <si>
    <t>Subscription</t>
  </si>
  <si>
    <t xml:space="preserve">TOTAL MONEY </t>
  </si>
  <si>
    <t>Standard-Sleep</t>
  </si>
  <si>
    <t>Standard</t>
  </si>
  <si>
    <t>Standard-Energy</t>
  </si>
  <si>
    <t>Standard-Bone</t>
  </si>
  <si>
    <t>Standard-Health</t>
  </si>
  <si>
    <t>Standard-Replenishment</t>
  </si>
  <si>
    <t>Standard-Muscle</t>
  </si>
  <si>
    <t>Standard-Combo</t>
  </si>
  <si>
    <t>Benefits-Sleep</t>
  </si>
  <si>
    <t>Benefits</t>
  </si>
  <si>
    <t>Benefits-Energy</t>
  </si>
  <si>
    <t>Benefits-Bone</t>
  </si>
  <si>
    <t>Benefits-Health</t>
  </si>
  <si>
    <t>Benefits-Replenishment</t>
  </si>
  <si>
    <t>Benefits-Muscle</t>
  </si>
  <si>
    <t>Tea Mix-Matcha</t>
  </si>
  <si>
    <t>Tea Mix</t>
  </si>
  <si>
    <t>Tea Mix-Mango</t>
  </si>
  <si>
    <t>Tea Mix-Green Tea</t>
  </si>
  <si>
    <t>Tea Mix-Strawberry</t>
  </si>
  <si>
    <t>Tea Mix-Passionfruit</t>
  </si>
  <si>
    <t>Tea Mix-Taro</t>
  </si>
  <si>
    <t>Holiday Bundle</t>
  </si>
  <si>
    <t>Specials</t>
  </si>
  <si>
    <t>Valentines Day</t>
  </si>
  <si>
    <t>New Year-Refreshed</t>
  </si>
  <si>
    <t>New Year-Wellness</t>
  </si>
  <si>
    <t>New Year-Strength</t>
  </si>
  <si>
    <t>(NEEDS TO CHANGE)</t>
  </si>
  <si>
    <t>St. Patrick's Day</t>
  </si>
  <si>
    <t>Easter Bundle</t>
  </si>
  <si>
    <t>Business Contract</t>
  </si>
  <si>
    <t xml:space="preserve">Total sales online and in-person </t>
  </si>
  <si>
    <t>Package</t>
  </si>
  <si>
    <t>Product Sold</t>
  </si>
  <si>
    <t>New Years</t>
  </si>
  <si>
    <t>Tea Mix Pack</t>
  </si>
  <si>
    <t>Boba Pearls Pack</t>
  </si>
  <si>
    <t>Year-End Sales Report (Website)</t>
  </si>
  <si>
    <t>Essential Package (OG price)</t>
  </si>
  <si>
    <t>Standard Package - Sleep</t>
  </si>
  <si>
    <t>Essential Package</t>
  </si>
  <si>
    <t>Standard Package - Energy</t>
  </si>
  <si>
    <t>saint patricks</t>
  </si>
  <si>
    <t>Standard Package - Bone</t>
  </si>
  <si>
    <t>Standard Package - Health</t>
  </si>
  <si>
    <t>Easter Special Bundle</t>
  </si>
  <si>
    <t>Standard Package - Replenishment</t>
  </si>
  <si>
    <t>Standard Package - Muscle</t>
  </si>
  <si>
    <t>Standard Package - Combo</t>
  </si>
  <si>
    <t>VitaPearls Holiday Special Bundle</t>
  </si>
  <si>
    <t>VitaPearls Boba Tea Boba Lover Package</t>
  </si>
  <si>
    <t>Morning &amp; Night Package (OG price)</t>
  </si>
  <si>
    <t>Subscription Deal</t>
  </si>
  <si>
    <t>Morning &amp; Night Package</t>
  </si>
  <si>
    <t>New Year New Me</t>
  </si>
  <si>
    <t>VitaPearls Standard Boba Tea Bone Strength Package</t>
  </si>
  <si>
    <t>Matcha Tea Mix Pack</t>
  </si>
  <si>
    <t xml:space="preserve">Saint Patricks </t>
  </si>
  <si>
    <t>Mango Tea Mix Pack</t>
  </si>
  <si>
    <t>TOTALS</t>
  </si>
  <si>
    <t>Trade Show</t>
  </si>
  <si>
    <t>Soft Launch</t>
  </si>
  <si>
    <t>Top Selling Products</t>
  </si>
  <si>
    <t>Product Name</t>
  </si>
  <si>
    <t>Quantity</t>
  </si>
  <si>
    <t>% of Total Sales</t>
  </si>
  <si>
    <t>Total Sales Tax</t>
  </si>
  <si>
    <t xml:space="preserve">Family Pack </t>
  </si>
  <si>
    <t>Transaction no</t>
  </si>
  <si>
    <t>Product name</t>
  </si>
  <si>
    <t>Product number</t>
  </si>
  <si>
    <t>Price</t>
  </si>
  <si>
    <t>Taxable</t>
  </si>
  <si>
    <t>Amount</t>
  </si>
  <si>
    <t>VitaPearls Boba Tea Boba Lovers Package</t>
  </si>
  <si>
    <t>VPFP002-6M</t>
  </si>
  <si>
    <t>Yes</t>
  </si>
  <si>
    <t>Essentials</t>
  </si>
  <si>
    <t>VPSP002-PB</t>
  </si>
  <si>
    <t>VitaPearls Boba Tea Essential Package</t>
  </si>
  <si>
    <t>VitaPearls Boba Tea Morning and Night Package</t>
  </si>
  <si>
    <t>VPP003-MN</t>
  </si>
  <si>
    <t xml:space="preserve">OC Trade show </t>
  </si>
  <si>
    <t>VitaPearls Boba Tea Family Package</t>
  </si>
  <si>
    <t>VitaPearls Boba Tea Party Package</t>
  </si>
  <si>
    <t>VitaPearls Standard Boba Tea Combo Package</t>
  </si>
  <si>
    <t>VitaPearls Standard Boba Tea Energy Package</t>
  </si>
  <si>
    <t>VitaPearls Standard Boba Tea Health Package</t>
  </si>
  <si>
    <t>VitaPearls Standard Boba Tea Muscle Strength Package</t>
  </si>
  <si>
    <t>VitaPearls Standard Boba Tea Replenishment Package</t>
  </si>
  <si>
    <t>VitaPearls Standard Boba Tea Sleep Package</t>
  </si>
  <si>
    <t xml:space="preserve">
</t>
  </si>
  <si>
    <t xml:space="preserve">Total Sales Trends </t>
  </si>
  <si>
    <t>Previous Trade Show</t>
  </si>
  <si>
    <t>Current Trade Show</t>
  </si>
  <si>
    <t>San Diego</t>
  </si>
  <si>
    <t>Total Sold</t>
  </si>
  <si>
    <t xml:space="preserve">OC Trade Show </t>
  </si>
  <si>
    <t>San Diego Trade Show</t>
  </si>
  <si>
    <t>Bakersfield</t>
  </si>
  <si>
    <t>Product</t>
  </si>
  <si>
    <t>Quantity of Sales</t>
  </si>
  <si>
    <t>Revenue</t>
  </si>
  <si>
    <t>Benefits Pack</t>
  </si>
  <si>
    <t>Boba Lovers</t>
  </si>
  <si>
    <t>M&amp;N</t>
  </si>
  <si>
    <t>New Year</t>
  </si>
  <si>
    <t>Standard Package</t>
  </si>
  <si>
    <t>Other</t>
  </si>
  <si>
    <t>Valentines Day Bundle</t>
  </si>
  <si>
    <t>Boba Lover Package</t>
  </si>
  <si>
    <t>VitaPearls Boba Tea Valentines Day Bundle</t>
  </si>
  <si>
    <t>New Year New Me Bundle</t>
  </si>
  <si>
    <t>VitaPearls New Year New Me Wellness Bundle</t>
  </si>
  <si>
    <t>VitaPearls New Year New Me Refreshed Bundle</t>
  </si>
  <si>
    <t>VitaPearls New Year New Me Strength Bundle</t>
  </si>
  <si>
    <t>Bako:</t>
  </si>
  <si>
    <t>VitaPearls Passionfruit Tea Mix Pack</t>
  </si>
  <si>
    <t>energy</t>
  </si>
  <si>
    <t>Mini:</t>
  </si>
  <si>
    <t>JANUARY COGS:</t>
  </si>
  <si>
    <t>VitaPearls Matcha Tea Mix Pack</t>
  </si>
  <si>
    <t>bone</t>
  </si>
  <si>
    <t>VitaPearls Mango Tea Mix Pack</t>
  </si>
  <si>
    <t>health</t>
  </si>
  <si>
    <t>Bakersfield Trade Show</t>
  </si>
  <si>
    <t>VitaPearls Boba Pearls Bone Benefits Pack</t>
  </si>
  <si>
    <t>replenishment</t>
  </si>
  <si>
    <t>VitaPearls Boba Pearls Sleep Benefits Pack</t>
  </si>
  <si>
    <t>Muscle</t>
  </si>
  <si>
    <t>VitaPearls Tea Mix Powder Variety Strawberry Flavor Pack</t>
  </si>
  <si>
    <t>Combo</t>
  </si>
  <si>
    <t>IECE - San Bernadino</t>
  </si>
  <si>
    <t>St. Patricks Day</t>
  </si>
  <si>
    <t>Subscribition Deal</t>
  </si>
  <si>
    <t>Discount</t>
  </si>
  <si>
    <t>Boba Benefits</t>
  </si>
  <si>
    <t>Boba Benefits - Sleep</t>
  </si>
  <si>
    <t>Essentials Package</t>
  </si>
  <si>
    <t>Boba Benefits - Energy</t>
  </si>
  <si>
    <t>Boba Benefits - Health</t>
  </si>
  <si>
    <t>Morning and Night</t>
  </si>
  <si>
    <t>Boba Benefits - Bones</t>
  </si>
  <si>
    <t>Boba Benefits - Muscle</t>
  </si>
  <si>
    <t>Boba Benefits - Replenishment</t>
  </si>
  <si>
    <t>Standard - Sleep</t>
  </si>
  <si>
    <t>Standard - Energy</t>
  </si>
  <si>
    <t>Total Revenue</t>
  </si>
  <si>
    <t>Standard - Health</t>
  </si>
  <si>
    <t>Standard - Bones</t>
  </si>
  <si>
    <t>Standard - Muscle</t>
  </si>
  <si>
    <t>Standard - Replenishment</t>
  </si>
  <si>
    <t>Standard - Combo</t>
  </si>
  <si>
    <t>Tea Mix - Matcha</t>
  </si>
  <si>
    <t>Tea Mix - Mango</t>
  </si>
  <si>
    <t>Tea Mix - Green Tea</t>
  </si>
  <si>
    <t>Tea Mix - Strawberry</t>
  </si>
  <si>
    <t>Tea Mix - Passionfruit</t>
  </si>
  <si>
    <t>Tea Mix - Taro</t>
  </si>
  <si>
    <t>IECE Trade Show</t>
  </si>
  <si>
    <t>Trade Show Sales Report</t>
  </si>
  <si>
    <t>YBS Trade Show</t>
  </si>
  <si>
    <t>Discounts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</si>
</sst>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$&quot;#,##0.00;[Red]&quot;$&quot;#,##0.00"/>
    <numFmt numFmtId="166" formatCode="&quot;$&quot;#,##0.00"/>
    <numFmt numFmtId="167" formatCode="m/d"/>
    <numFmt numFmtId="168" formatCode="mm/dd/yyyy"/>
    <numFmt numFmtId="169" formatCode="&quot;$&quot;#,##0"/>
  </numFmts>
  <fonts count="21">
    <font>
      <sz val="10.0"/>
      <color rgb="FF000000"/>
      <name val="Calibri"/>
      <scheme val="minor"/>
    </font>
    <font>
      <sz val="10.0"/>
      <color theme="1"/>
      <name val="Arial"/>
    </font>
    <font>
      <color theme="1"/>
      <name val="Calibri"/>
    </font>
    <font>
      <b/>
      <sz val="24.0"/>
      <color theme="1"/>
      <name val="Arial"/>
    </font>
    <font/>
    <font>
      <b/>
      <sz val="12.0"/>
      <color theme="1"/>
      <name val="Arial"/>
    </font>
    <font>
      <b/>
      <sz val="12.0"/>
      <color rgb="FFFFFFFF"/>
      <name val="Arial"/>
    </font>
    <font>
      <b/>
      <sz val="14.0"/>
      <color theme="1"/>
      <name val="Arial"/>
    </font>
    <font>
      <b/>
      <sz val="14.0"/>
      <color rgb="FFFFFFFF"/>
      <name val="Arial"/>
    </font>
    <font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sz val="12.0"/>
      <color rgb="FFFF0000"/>
      <name val="Arial"/>
    </font>
    <font>
      <b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b/>
      <color theme="1"/>
      <name val="Arial"/>
    </font>
    <font>
      <sz val="8.0"/>
      <color theme="1"/>
      <name val="Calibri"/>
    </font>
    <font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008D8A"/>
        <bgColor rgb="FF008D8A"/>
      </patternFill>
    </fill>
    <fill>
      <patternFill patternType="solid">
        <fgColor rgb="FF000090"/>
        <bgColor rgb="FF00009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D9EAD3"/>
        <bgColor rgb="FFD9EAD3"/>
      </patternFill>
    </fill>
    <fill>
      <patternFill patternType="solid">
        <fgColor rgb="FFF2F5F7"/>
        <bgColor rgb="FFF2F5F7"/>
      </patternFill>
    </fill>
  </fills>
  <borders count="20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bottom"/>
    </xf>
    <xf borderId="2" fillId="3" fontId="3" numFmtId="0" xfId="0" applyAlignment="1" applyBorder="1" applyFill="1" applyFont="1">
      <alignment horizontal="right" readingOrder="0" shrinkToFit="0" wrapText="1"/>
    </xf>
    <xf borderId="3" fillId="0" fontId="4" numFmtId="0" xfId="0" applyBorder="1" applyFont="1"/>
    <xf borderId="0" fillId="0" fontId="2" numFmtId="0" xfId="0" applyAlignment="1" applyFont="1">
      <alignment vertical="bottom"/>
    </xf>
    <xf borderId="2" fillId="2" fontId="5" numFmtId="0" xfId="0" applyBorder="1" applyFont="1"/>
    <xf borderId="1" fillId="2" fontId="2" numFmtId="0" xfId="0" applyAlignment="1" applyBorder="1" applyFont="1">
      <alignment vertical="bottom"/>
    </xf>
    <xf borderId="4" fillId="4" fontId="6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1" fillId="2" fontId="5" numFmtId="0" xfId="0" applyBorder="1" applyFont="1"/>
    <xf borderId="5" fillId="0" fontId="2" numFmtId="0" xfId="0" applyAlignment="1" applyBorder="1" applyFont="1">
      <alignment vertical="bottom"/>
    </xf>
    <xf borderId="5" fillId="0" fontId="7" numFmtId="164" xfId="0" applyBorder="1" applyFont="1" applyNumberFormat="1"/>
    <xf borderId="6" fillId="0" fontId="5" numFmtId="164" xfId="0" applyAlignment="1" applyBorder="1" applyFont="1" applyNumberFormat="1">
      <alignment horizontal="center" readingOrder="0"/>
    </xf>
    <xf borderId="7" fillId="0" fontId="4" numFmtId="0" xfId="0" applyBorder="1" applyFont="1"/>
    <xf borderId="0" fillId="0" fontId="7" numFmtId="0" xfId="0" applyAlignment="1" applyFont="1">
      <alignment horizontal="right"/>
    </xf>
    <xf borderId="6" fillId="0" fontId="5" numFmtId="0" xfId="0" applyAlignment="1" applyBorder="1" applyFont="1">
      <alignment horizontal="center" readingOrder="0"/>
    </xf>
    <xf borderId="8" fillId="0" fontId="4" numFmtId="0" xfId="0" applyBorder="1" applyFont="1"/>
    <xf borderId="9" fillId="3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2" fontId="7" numFmtId="0" xfId="0" applyBorder="1" applyFont="1"/>
    <xf borderId="2" fillId="5" fontId="8" numFmtId="0" xfId="0" applyAlignment="1" applyBorder="1" applyFill="1" applyFont="1">
      <alignment horizontal="center" vertical="bottom"/>
    </xf>
    <xf borderId="0" fillId="0" fontId="7" numFmtId="0" xfId="0" applyFont="1"/>
    <xf borderId="4" fillId="4" fontId="6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0" fillId="4" fontId="6" numFmtId="0" xfId="0" applyAlignment="1" applyBorder="1" applyFont="1">
      <alignment vertical="bottom"/>
    </xf>
    <xf borderId="11" fillId="0" fontId="4" numFmtId="0" xfId="0" applyBorder="1" applyFont="1"/>
    <xf borderId="12" fillId="6" fontId="9" numFmtId="0" xfId="0" applyAlignment="1" applyBorder="1" applyFill="1" applyFont="1">
      <alignment horizontal="center" readingOrder="0"/>
    </xf>
    <xf borderId="6" fillId="6" fontId="9" numFmtId="0" xfId="0" applyAlignment="1" applyBorder="1" applyFont="1">
      <alignment horizontal="center" readingOrder="0"/>
    </xf>
    <xf borderId="12" fillId="6" fontId="10" numFmtId="0" xfId="0" applyAlignment="1" applyBorder="1" applyFont="1">
      <alignment readingOrder="0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6" fillId="0" fontId="11" numFmtId="0" xfId="0" applyAlignment="1" applyBorder="1" applyFont="1">
      <alignment horizontal="right"/>
    </xf>
    <xf borderId="12" fillId="6" fontId="12" numFmtId="165" xfId="0" applyAlignment="1" applyBorder="1" applyFont="1" applyNumberFormat="1">
      <alignment horizontal="right"/>
    </xf>
    <xf borderId="12" fillId="6" fontId="9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shrinkToFit="0" vertical="bottom" wrapText="1"/>
    </xf>
    <xf borderId="12" fillId="6" fontId="9" numFmtId="166" xfId="0" applyAlignment="1" applyBorder="1" applyFont="1" applyNumberFormat="1">
      <alignment horizontal="right" vertical="bottom"/>
    </xf>
    <xf borderId="12" fillId="6" fontId="2" numFmtId="10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6" fillId="6" fontId="11" numFmtId="0" xfId="0" applyAlignment="1" applyBorder="1" applyFont="1">
      <alignment horizontal="center" readingOrder="0" shrinkToFit="0" vertical="bottom" wrapText="1"/>
    </xf>
    <xf borderId="13" fillId="0" fontId="9" numFmtId="0" xfId="0" applyAlignment="1" applyBorder="1" applyFont="1">
      <alignment horizontal="center" readingOrder="0" vertical="bottom"/>
    </xf>
    <xf borderId="13" fillId="0" fontId="9" numFmtId="0" xfId="0" applyAlignment="1" applyBorder="1" applyFont="1">
      <alignment horizontal="center" readingOrder="0" shrinkToFit="0" vertical="bottom" wrapText="1"/>
    </xf>
    <xf borderId="13" fillId="0" fontId="9" numFmtId="0" xfId="0" applyAlignment="1" applyBorder="1" applyFont="1">
      <alignment horizontal="center" readingOrder="0"/>
    </xf>
    <xf borderId="14" fillId="0" fontId="9" numFmtId="0" xfId="0" applyAlignment="1" applyBorder="1" applyFont="1">
      <alignment horizontal="center" readingOrder="0"/>
    </xf>
    <xf borderId="12" fillId="0" fontId="10" numFmtId="0" xfId="0" applyAlignment="1" applyBorder="1" applyFont="1">
      <alignment horizontal="center"/>
    </xf>
    <xf borderId="0" fillId="0" fontId="10" numFmtId="0" xfId="0" applyFont="1"/>
    <xf borderId="12" fillId="0" fontId="11" numFmtId="0" xfId="0" applyAlignment="1" applyBorder="1" applyFont="1">
      <alignment horizontal="right"/>
    </xf>
    <xf borderId="12" fillId="6" fontId="12" numFmtId="165" xfId="0" applyAlignment="1" applyBorder="1" applyFont="1" applyNumberFormat="1">
      <alignment horizontal="right" readingOrder="0"/>
    </xf>
    <xf borderId="6" fillId="0" fontId="13" numFmtId="0" xfId="0" applyAlignment="1" applyBorder="1" applyFont="1">
      <alignment horizontal="center" readingOrder="0" shrinkToFit="0" vertical="bottom" wrapText="1"/>
    </xf>
    <xf borderId="12" fillId="6" fontId="2" numFmtId="10" xfId="0" applyAlignment="1" applyBorder="1" applyFont="1" applyNumberFormat="1">
      <alignment horizontal="right" vertical="bottom"/>
    </xf>
    <xf borderId="12" fillId="6" fontId="9" numFmtId="0" xfId="0" applyAlignment="1" applyBorder="1" applyFont="1">
      <alignment horizontal="center" readingOrder="0" shrinkToFit="0" vertical="bottom" wrapText="1"/>
    </xf>
    <xf borderId="13" fillId="0" fontId="11" numFmtId="0" xfId="0" applyAlignment="1" applyBorder="1" applyFont="1">
      <alignment horizontal="center" readingOrder="0" shrinkToFit="0" vertical="bottom" wrapText="1"/>
    </xf>
    <xf borderId="6" fillId="6" fontId="9" numFmtId="0" xfId="0" applyAlignment="1" applyBorder="1" applyFont="1">
      <alignment horizontal="center" readingOrder="0" shrinkToFit="0" vertical="bottom" wrapText="1"/>
    </xf>
    <xf borderId="12" fillId="0" fontId="9" numFmtId="0" xfId="0" applyAlignment="1" applyBorder="1" applyFont="1">
      <alignment horizontal="center" readingOrder="0"/>
    </xf>
    <xf borderId="12" fillId="0" fontId="11" numFmtId="0" xfId="0" applyAlignment="1" applyBorder="1" applyFont="1">
      <alignment horizontal="center" readingOrder="0" shrinkToFit="0" vertical="bottom" wrapText="1"/>
    </xf>
    <xf borderId="12" fillId="0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right" readingOrder="0"/>
    </xf>
    <xf borderId="12" fillId="6" fontId="14" numFmtId="165" xfId="0" applyAlignment="1" applyBorder="1" applyFont="1" applyNumberFormat="1">
      <alignment horizontal="right"/>
    </xf>
    <xf borderId="0" fillId="0" fontId="10" numFmtId="166" xfId="0" applyFont="1" applyNumberFormat="1"/>
    <xf borderId="0" fillId="0" fontId="9" numFmtId="165" xfId="0" applyAlignment="1" applyFont="1" applyNumberFormat="1">
      <alignment horizontal="center" vertical="bottom"/>
    </xf>
    <xf borderId="6" fillId="0" fontId="11" numFmtId="0" xfId="0" applyAlignment="1" applyBorder="1" applyFont="1">
      <alignment horizontal="right"/>
    </xf>
    <xf borderId="12" fillId="0" fontId="9" numFmtId="0" xfId="0" applyAlignment="1" applyBorder="1" applyFont="1">
      <alignment horizontal="center" readingOrder="0" shrinkToFit="0" vertical="bottom" wrapText="1"/>
    </xf>
    <xf borderId="15" fillId="0" fontId="5" numFmtId="0" xfId="0" applyAlignment="1" applyBorder="1" applyFont="1">
      <alignment horizontal="right"/>
    </xf>
    <xf borderId="15" fillId="0" fontId="4" numFmtId="0" xfId="0" applyBorder="1" applyFont="1"/>
    <xf borderId="12" fillId="7" fontId="12" numFmtId="165" xfId="0" applyAlignment="1" applyBorder="1" applyFill="1" applyFont="1" applyNumberFormat="1">
      <alignment horizontal="right"/>
    </xf>
    <xf borderId="12" fillId="6" fontId="9" numFmtId="166" xfId="0" applyAlignment="1" applyBorder="1" applyFont="1" applyNumberForma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0" fillId="0" fontId="10" numFmtId="166" xfId="0" applyAlignment="1" applyFont="1" applyNumberFormat="1">
      <alignment readingOrder="0"/>
    </xf>
    <xf borderId="6" fillId="6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6" fillId="6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2" fillId="0" fontId="9" numFmtId="0" xfId="0" applyAlignment="1" applyBorder="1" applyFont="1">
      <alignment horizontal="center"/>
    </xf>
    <xf borderId="12" fillId="6" fontId="2" numFmtId="166" xfId="0" applyAlignment="1" applyBorder="1" applyFont="1" applyNumberFormat="1">
      <alignment horizontal="right" vertical="bottom"/>
    </xf>
    <xf borderId="12" fillId="6" fontId="2" numFmtId="166" xfId="0" applyAlignment="1" applyBorder="1" applyFont="1" applyNumberFormat="1">
      <alignment horizontal="right" readingOrder="0" vertical="bottom"/>
    </xf>
    <xf borderId="12" fillId="0" fontId="10" numFmtId="0" xfId="0" applyAlignment="1" applyBorder="1" applyFont="1">
      <alignment horizontal="center" readingOrder="0"/>
    </xf>
    <xf borderId="16" fillId="6" fontId="9" numFmtId="0" xfId="0" applyAlignment="1" applyBorder="1" applyFont="1">
      <alignment horizontal="center" readingOrder="0" shrinkToFit="0" vertical="bottom" wrapText="1"/>
    </xf>
    <xf borderId="17" fillId="0" fontId="4" numFmtId="0" xfId="0" applyBorder="1" applyFont="1"/>
    <xf borderId="18" fillId="0" fontId="9" numFmtId="0" xfId="0" applyAlignment="1" applyBorder="1" applyFont="1">
      <alignment horizontal="center" readingOrder="0"/>
    </xf>
    <xf borderId="12" fillId="6" fontId="15" numFmtId="0" xfId="0" applyAlignment="1" applyBorder="1" applyFont="1">
      <alignment horizontal="center" readingOrder="0"/>
    </xf>
    <xf borderId="6" fillId="0" fontId="16" numFmtId="0" xfId="0" applyAlignment="1" applyBorder="1" applyFont="1">
      <alignment horizontal="center" readingOrder="0" shrinkToFit="0" vertical="bottom" wrapText="1"/>
    </xf>
    <xf borderId="0" fillId="8" fontId="2" numFmtId="166" xfId="0" applyAlignment="1" applyFill="1" applyFont="1" applyNumberFormat="1">
      <alignment horizontal="right" vertical="bottom"/>
    </xf>
    <xf borderId="6" fillId="0" fontId="16" numFmtId="0" xfId="0" applyAlignment="1" applyBorder="1" applyFont="1">
      <alignment horizontal="center" shrinkToFit="0" vertical="bottom" wrapText="1"/>
    </xf>
    <xf borderId="12" fillId="6" fontId="17" numFmtId="166" xfId="0" applyAlignment="1" applyBorder="1" applyFont="1" applyNumberFormat="1">
      <alignment horizontal="right" vertical="bottom"/>
    </xf>
    <xf borderId="12" fillId="6" fontId="17" numFmtId="10" xfId="0" applyAlignment="1" applyBorder="1" applyFont="1" applyNumberFormat="1">
      <alignment horizontal="right" vertical="bottom"/>
    </xf>
    <xf borderId="12" fillId="0" fontId="10" numFmtId="0" xfId="0" applyAlignment="1" applyBorder="1" applyFont="1">
      <alignment readingOrder="0"/>
    </xf>
    <xf borderId="6" fillId="6" fontId="9" numFmtId="0" xfId="0" applyAlignment="1" applyBorder="1" applyFont="1">
      <alignment horizontal="center" shrinkToFit="0" vertical="bottom" wrapText="1"/>
    </xf>
    <xf borderId="12" fillId="0" fontId="2" numFmtId="0" xfId="0" applyAlignment="1" applyBorder="1" applyFont="1">
      <alignment horizontal="right" vertical="bottom"/>
    </xf>
    <xf borderId="6" fillId="6" fontId="9" numFmtId="0" xfId="0" applyAlignment="1" applyBorder="1" applyFont="1">
      <alignment horizontal="center" shrinkToFit="0" vertical="bottom" wrapText="1"/>
    </xf>
    <xf borderId="4" fillId="4" fontId="6" numFmtId="0" xfId="0" applyAlignment="1" applyBorder="1" applyFont="1">
      <alignment vertical="bottom"/>
    </xf>
    <xf borderId="12" fillId="6" fontId="2" numFmtId="0" xfId="0" applyAlignment="1" applyBorder="1" applyFont="1">
      <alignment readingOrder="0" vertical="bottom"/>
    </xf>
    <xf borderId="0" fillId="6" fontId="2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166" xfId="0" applyAlignment="1" applyFont="1" applyNumberFormat="1">
      <alignment vertical="bottom"/>
    </xf>
    <xf borderId="0" fillId="6" fontId="9" numFmtId="166" xfId="0" applyAlignment="1" applyFont="1" applyNumberFormat="1">
      <alignment horizontal="right" vertical="bottom"/>
    </xf>
    <xf borderId="0" fillId="0" fontId="13" numFmtId="10" xfId="0" applyAlignment="1" applyFont="1" applyNumberFormat="1">
      <alignment vertical="bottom"/>
    </xf>
    <xf borderId="0" fillId="0" fontId="13" numFmtId="0" xfId="0" applyAlignment="1" applyFont="1">
      <alignment vertical="bottom"/>
    </xf>
    <xf borderId="6" fillId="0" fontId="9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vertical="bottom"/>
    </xf>
    <xf borderId="6" fillId="0" fontId="13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horizontal="right" vertical="bottom"/>
    </xf>
    <xf borderId="6" fillId="0" fontId="13" numFmtId="10" xfId="0" applyAlignment="1" applyBorder="1" applyFont="1" applyNumberFormat="1">
      <alignment horizontal="center" shrinkToFit="0" vertical="bottom" wrapText="1"/>
    </xf>
    <xf borderId="0" fillId="0" fontId="13" numFmtId="0" xfId="0" applyAlignment="1" applyFont="1">
      <alignment horizontal="right" vertical="bottom"/>
    </xf>
    <xf borderId="6" fillId="0" fontId="9" numFmtId="0" xfId="0" applyAlignment="1" applyBorder="1" applyFont="1">
      <alignment horizontal="center" readingOrder="0" shrinkToFit="0" vertical="bottom" wrapText="1"/>
    </xf>
    <xf borderId="6" fillId="0" fontId="11" numFmtId="0" xfId="0" applyAlignment="1" applyBorder="1" applyFont="1">
      <alignment horizontal="center" shrinkToFit="0" vertical="bottom" wrapText="1"/>
    </xf>
    <xf borderId="6" fillId="0" fontId="11" numFmtId="10" xfId="0" applyAlignment="1" applyBorder="1" applyFont="1" applyNumberFormat="1">
      <alignment horizontal="center" shrinkToFit="0" vertical="bottom" wrapText="1"/>
    </xf>
    <xf borderId="6" fillId="0" fontId="13" numFmtId="0" xfId="0" applyAlignment="1" applyBorder="1" applyFont="1">
      <alignment vertical="bottom"/>
    </xf>
    <xf borderId="6" fillId="0" fontId="13" numFmtId="10" xfId="0" applyAlignment="1" applyBorder="1" applyFont="1" applyNumberFormat="1">
      <alignment vertical="bottom"/>
    </xf>
    <xf borderId="0" fillId="6" fontId="9" numFmtId="166" xfId="0" applyAlignment="1" applyFont="1" applyNumberFormat="1">
      <alignment horizontal="right" readingOrder="0" vertical="bottom"/>
    </xf>
    <xf borderId="0" fillId="6" fontId="9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12" fillId="0" fontId="11" numFmtId="0" xfId="0" applyAlignment="1" applyBorder="1" applyFont="1">
      <alignment horizontal="center" shrinkToFit="0" vertical="bottom" wrapText="1"/>
    </xf>
    <xf borderId="12" fillId="0" fontId="11" numFmtId="10" xfId="0" applyAlignment="1" applyBorder="1" applyFont="1" applyNumberFormat="1">
      <alignment horizontal="center" shrinkToFit="0" vertical="bottom" wrapText="1"/>
    </xf>
    <xf borderId="6" fillId="0" fontId="11" numFmtId="0" xfId="0" applyAlignment="1" applyBorder="1" applyFont="1">
      <alignment horizontal="center" shrinkToFit="0" vertical="bottom" wrapText="1"/>
    </xf>
    <xf borderId="0" fillId="6" fontId="10" numFmtId="166" xfId="0" applyAlignment="1" applyFont="1" applyNumberFormat="1">
      <alignment readingOrder="0"/>
    </xf>
    <xf borderId="6" fillId="0" fontId="11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horizontal="right" readingOrder="0" vertical="bottom"/>
    </xf>
    <xf borderId="12" fillId="6" fontId="9" numFmtId="0" xfId="0" applyAlignment="1" applyBorder="1" applyFont="1">
      <alignment horizontal="right" readingOrder="0" vertical="bottom"/>
    </xf>
    <xf borderId="6" fillId="0" fontId="9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0" fillId="6" fontId="9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18" numFmtId="0" xfId="0" applyAlignment="1" applyBorder="1" applyFont="1">
      <alignment vertical="bottom"/>
    </xf>
    <xf borderId="6" fillId="0" fontId="5" numFmtId="167" xfId="0" applyAlignment="1" applyBorder="1" applyFont="1" applyNumberFormat="1">
      <alignment horizontal="center" vertical="bottom"/>
    </xf>
    <xf borderId="0" fillId="0" fontId="18" numFmtId="165" xfId="0" applyAlignment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9" fillId="3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3" fontId="2" numFmtId="165" xfId="0" applyAlignment="1" applyBorder="1" applyFont="1" applyNumberFormat="1">
      <alignment vertical="bottom"/>
    </xf>
    <xf borderId="1" fillId="3" fontId="2" numFmtId="166" xfId="0" applyAlignment="1" applyBorder="1" applyFont="1" applyNumberFormat="1">
      <alignment vertical="bottom"/>
    </xf>
    <xf borderId="0" fillId="0" fontId="2" numFmtId="10" xfId="0" applyAlignment="1" applyFont="1" applyNumberFormat="1">
      <alignment vertical="bottom"/>
    </xf>
    <xf borderId="2" fillId="5" fontId="8" numFmtId="0" xfId="0" applyAlignment="1" applyBorder="1" applyFont="1">
      <alignment horizontal="center" vertical="bottom"/>
    </xf>
    <xf borderId="1" fillId="2" fontId="2" numFmtId="165" xfId="0" applyAlignment="1" applyBorder="1" applyFont="1" applyNumberFormat="1">
      <alignment vertical="bottom"/>
    </xf>
    <xf borderId="0" fillId="0" fontId="2" numFmtId="166" xfId="0" applyAlignment="1" applyFont="1" applyNumberFormat="1">
      <alignment vertical="bottom"/>
    </xf>
    <xf borderId="4" fillId="4" fontId="6" numFmtId="0" xfId="0" applyAlignment="1" applyBorder="1" applyFont="1">
      <alignment vertical="bottom"/>
    </xf>
    <xf borderId="6" fillId="0" fontId="12" numFmtId="0" xfId="0" applyAlignment="1" applyBorder="1" applyFont="1">
      <alignment horizontal="right"/>
    </xf>
    <xf borderId="6" fillId="0" fontId="18" numFmtId="0" xfId="0" applyAlignment="1" applyBorder="1" applyFont="1">
      <alignment horizontal="center" vertical="bottom"/>
    </xf>
    <xf borderId="12" fillId="6" fontId="18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12" fillId="6" fontId="9" numFmtId="0" xfId="0" applyAlignment="1" applyBorder="1" applyFont="1">
      <alignment horizontal="right" vertical="bottom"/>
    </xf>
    <xf borderId="12" fillId="6" fontId="9" numFmtId="10" xfId="0" applyAlignment="1" applyBorder="1" applyFont="1" applyNumberFormat="1">
      <alignment horizontal="right" vertical="bottom"/>
    </xf>
    <xf borderId="6" fillId="0" fontId="2" numFmtId="0" xfId="0" applyBorder="1" applyFont="1"/>
    <xf borderId="12" fillId="6" fontId="2" numFmtId="165" xfId="0" applyBorder="1" applyFont="1" applyNumberFormat="1"/>
    <xf borderId="6" fillId="0" fontId="2" numFmtId="0" xfId="0" applyAlignment="1" applyBorder="1" applyFont="1">
      <alignment vertical="bottom"/>
    </xf>
    <xf borderId="12" fillId="6" fontId="2" numFmtId="166" xfId="0" applyAlignment="1" applyBorder="1" applyFont="1" applyNumberFormat="1">
      <alignment vertical="bottom"/>
    </xf>
    <xf borderId="12" fillId="6" fontId="9" numFmtId="166" xfId="0" applyAlignment="1" applyBorder="1" applyFont="1" applyNumberFormat="1">
      <alignment horizontal="center" vertical="bottom"/>
    </xf>
    <xf borderId="15" fillId="0" fontId="5" numFmtId="0" xfId="0" applyAlignment="1" applyBorder="1" applyFont="1">
      <alignment horizontal="right"/>
    </xf>
    <xf borderId="0" fillId="0" fontId="10" numFmtId="165" xfId="0" applyFont="1" applyNumberFormat="1"/>
    <xf borderId="0" fillId="0" fontId="13" numFmtId="166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6" fillId="0" fontId="5" numFmtId="168" xfId="0" applyAlignment="1" applyBorder="1" applyFont="1" applyNumberFormat="1">
      <alignment horizontal="center" vertical="bottom"/>
    </xf>
    <xf borderId="0" fillId="0" fontId="18" numFmtId="0" xfId="0" applyAlignment="1" applyFont="1">
      <alignment horizontal="right" vertical="bottom"/>
    </xf>
    <xf borderId="12" fillId="0" fontId="19" numFmtId="0" xfId="0" applyAlignment="1" applyBorder="1" applyFont="1">
      <alignment vertical="bottom"/>
    </xf>
    <xf borderId="19" fillId="9" fontId="13" numFmtId="0" xfId="0" applyAlignment="1" applyBorder="1" applyFill="1" applyFont="1">
      <alignment vertical="bottom"/>
    </xf>
    <xf borderId="0" fillId="3" fontId="2" numFmtId="0" xfId="0" applyAlignment="1" applyFont="1">
      <alignment vertical="bottom"/>
    </xf>
    <xf borderId="0" fillId="3" fontId="13" numFmtId="0" xfId="0" applyAlignment="1" applyFont="1">
      <alignment horizontal="right" vertical="bottom"/>
    </xf>
    <xf borderId="6" fillId="0" fontId="19" numFmtId="0" xfId="0" applyAlignment="1" applyBorder="1" applyFont="1">
      <alignment horizontal="center" vertical="bottom"/>
    </xf>
    <xf borderId="0" fillId="6" fontId="2" numFmtId="166" xfId="0" applyAlignment="1" applyFont="1" applyNumberFormat="1">
      <alignment horizontal="right" vertical="bottom"/>
    </xf>
    <xf borderId="0" fillId="0" fontId="2" numFmtId="169" xfId="0" applyAlignment="1" applyFont="1" applyNumberFormat="1">
      <alignment vertical="bottom"/>
    </xf>
    <xf borderId="6" fillId="0" fontId="12" numFmtId="0" xfId="0" applyAlignment="1" applyBorder="1" applyFont="1">
      <alignment horizontal="center"/>
    </xf>
    <xf borderId="12" fillId="6" fontId="18" numFmtId="0" xfId="0" applyAlignment="1" applyBorder="1" applyFont="1">
      <alignment horizontal="right" vertical="bottom"/>
    </xf>
    <xf borderId="12" fillId="6" fontId="18" numFmtId="166" xfId="0" applyAlignment="1" applyBorder="1" applyFont="1" applyNumberFormat="1">
      <alignment horizontal="right" vertical="bottom"/>
    </xf>
    <xf borderId="12" fillId="6" fontId="18" numFmtId="49" xfId="0" applyAlignment="1" applyBorder="1" applyFont="1" applyNumberFormat="1">
      <alignment vertical="bottom"/>
    </xf>
    <xf borderId="12" fillId="0" fontId="2" numFmtId="0" xfId="0" applyAlignment="1" applyBorder="1" applyFont="1">
      <alignment vertical="bottom"/>
    </xf>
    <xf borderId="12" fillId="0" fontId="13" numFmtId="0" xfId="0" applyAlignment="1" applyBorder="1" applyFont="1">
      <alignment horizontal="center" vertical="bottom"/>
    </xf>
    <xf borderId="12" fillId="0" fontId="2" numFmtId="166" xfId="0" applyAlignment="1" applyBorder="1" applyFont="1" applyNumberFormat="1">
      <alignment vertical="bottom"/>
    </xf>
    <xf borderId="6" fillId="0" fontId="9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12" fillId="6" fontId="18" numFmtId="166" xfId="0" applyAlignment="1" applyBorder="1" applyFont="1" applyNumberFormat="1">
      <alignment vertical="bottom"/>
    </xf>
    <xf borderId="12" fillId="6" fontId="18" numFmtId="10" xfId="0" applyAlignment="1" applyBorder="1" applyFont="1" applyNumberFormat="1">
      <alignment vertical="bottom"/>
    </xf>
    <xf borderId="12" fillId="6" fontId="9" numFmtId="0" xfId="0" applyAlignment="1" applyBorder="1" applyFont="1">
      <alignment horizontal="right" vertical="bottom"/>
    </xf>
    <xf borderId="12" fillId="0" fontId="20" numFmtId="166" xfId="0" applyAlignment="1" applyBorder="1" applyFont="1" applyNumberFormat="1">
      <alignment horizontal="right" vertical="bottom"/>
    </xf>
    <xf borderId="12" fillId="0" fontId="9" numFmtId="0" xfId="0" applyAlignment="1" applyBorder="1" applyFont="1">
      <alignment horizontal="center" vertical="bottom"/>
    </xf>
    <xf borderId="0" fillId="0" fontId="2" numFmtId="165" xfId="0" applyAlignment="1" applyFont="1" applyNumberFormat="1">
      <alignment vertical="bottom"/>
    </xf>
    <xf borderId="6" fillId="0" fontId="12" numFmtId="0" xfId="0" applyAlignment="1" applyBorder="1" applyFont="1">
      <alignment horizontal="center" vertical="bottom"/>
    </xf>
    <xf borderId="12" fillId="6" fontId="12" numFmtId="165" xfId="0" applyAlignment="1" applyBorder="1" applyFont="1" applyNumberFormat="1">
      <alignment horizontal="right" vertical="bottom"/>
    </xf>
    <xf borderId="10" fillId="4" fontId="6" numFmtId="0" xfId="0" applyAlignment="1" applyBorder="1" applyFont="1">
      <alignment vertical="bottom"/>
    </xf>
    <xf borderId="2" fillId="3" fontId="3" numFmtId="0" xfId="0" applyAlignment="1" applyBorder="1" applyFont="1">
      <alignment horizontal="right" shrinkToFit="0" wrapText="1"/>
    </xf>
    <xf borderId="4" fillId="4" fontId="6" numFmtId="0" xfId="0" applyAlignment="1" applyBorder="1" applyFont="1">
      <alignment horizontal="center" vertical="bottom"/>
    </xf>
    <xf borderId="12" fillId="6" fontId="2" numFmtId="0" xfId="0" applyAlignment="1" applyBorder="1" applyFont="1">
      <alignment vertical="bottom"/>
    </xf>
    <xf borderId="12" fillId="6" fontId="2" numFmtId="10" xfId="0" applyAlignment="1" applyBorder="1" applyFont="1" applyNumberFormat="1">
      <alignment vertical="bottom"/>
    </xf>
    <xf borderId="0" fillId="9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19" fillId="9" fontId="2" numFmtId="0" xfId="0" applyAlignment="1" applyBorder="1" applyFont="1">
      <alignment vertical="bottom"/>
    </xf>
    <xf borderId="18" fillId="7" fontId="12" numFmtId="165" xfId="0" applyAlignment="1" applyBorder="1" applyFont="1" applyNumberFormat="1">
      <alignment horizontal="right"/>
    </xf>
    <xf borderId="12" fillId="6" fontId="2" numFmtId="166" xfId="0" applyAlignment="1" applyBorder="1" applyFont="1" applyNumberFormat="1">
      <alignment horizontal="right" vertical="bottom"/>
    </xf>
    <xf borderId="15" fillId="0" fontId="2" numFmtId="0" xfId="0" applyBorder="1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  <c:spPr>
              <a:solidFill>
                <a:srgbClr val="EDF2F8"/>
              </a:solidFill>
            </c:spPr>
          </c:dPt>
          <c:dPt>
            <c:idx val="19"/>
            <c:spPr>
              <a:solidFill>
                <a:srgbClr val="F9EEED"/>
              </a:solidFill>
            </c:spPr>
          </c:dPt>
          <c:dPt>
            <c:idx val="20"/>
            <c:spPr>
              <a:solidFill>
                <a:srgbClr val="E06666"/>
              </a:solidFill>
            </c:spPr>
          </c:dPt>
          <c:dPt>
            <c:idx val="21"/>
            <c:spPr>
              <a:solidFill>
                <a:srgbClr val="F2F0F6"/>
              </a:solidFill>
            </c:spPr>
          </c:dPt>
          <c:dPt>
            <c:idx val="22"/>
            <c:spPr>
              <a:solidFill>
                <a:srgbClr val="EDF7F9"/>
              </a:solidFill>
            </c:spPr>
          </c:dPt>
          <c:dPt>
            <c:idx val="23"/>
            <c:spPr>
              <a:solidFill>
                <a:srgbClr val="38761D"/>
              </a:solidFill>
            </c:spPr>
          </c:dPt>
          <c:dPt>
            <c:idx val="24"/>
            <c:spPr>
              <a:solidFill>
                <a:srgbClr val="666666"/>
              </a:solidFill>
            </c:spPr>
          </c:dPt>
          <c:dPt>
            <c:idx val="25"/>
            <c:spPr>
              <a:solidFill>
                <a:srgbClr val="1155CC"/>
              </a:solidFill>
            </c:spPr>
          </c:dPt>
          <c:dPt>
            <c:idx val="26"/>
            <c:spPr>
              <a:solidFill>
                <a:srgbClr val="A64D79"/>
              </a:solidFill>
            </c:spPr>
          </c:dPt>
          <c:dPt>
            <c:idx val="27"/>
            <c:spPr>
              <a:solidFill>
                <a:srgbClr val="6FA8DC"/>
              </a:solidFill>
            </c:spPr>
          </c:dPt>
          <c:dPt>
            <c:idx val="28"/>
            <c:spPr>
              <a:solidFill>
                <a:srgbClr val="A2C4C9"/>
              </a:solidFill>
            </c:spPr>
          </c:dPt>
          <c:dPt>
            <c:idx val="29"/>
            <c:spPr>
              <a:solidFill>
                <a:srgbClr val="A61C00"/>
              </a:solidFill>
            </c:spPr>
          </c:dPt>
          <c:dPt>
            <c:idx val="30"/>
            <c:spPr>
              <a:solidFill>
                <a:srgbClr val="573E20"/>
              </a:solidFill>
            </c:spPr>
          </c:dPt>
          <c:dPt>
            <c:idx val="31"/>
            <c:spPr>
              <a:solidFill>
                <a:srgbClr val="1F575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Report'!$H$9:$H$40</c:f>
            </c:strRef>
          </c:cat>
          <c:val>
            <c:numRef>
              <c:f>'Sales Report'!$I$9:$I$40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Report'!$Q$44:$Q$55</c:f>
            </c:strRef>
          </c:cat>
          <c:val>
            <c:numRef>
              <c:f>'Sales Report'!$R$44:$R$55</c:f>
              <c:numCache/>
            </c:numRef>
          </c:val>
        </c:ser>
        <c:ser>
          <c:idx val="1"/>
          <c:order val="1"/>
          <c:cat>
            <c:strRef>
              <c:f>'Sales Report'!$Q$44:$Q$55</c:f>
            </c:strRef>
          </c:cat>
          <c:val>
            <c:numRef>
              <c:f>'Sales Report'!$S$44:$S$55</c:f>
              <c:numCache/>
            </c:numRef>
          </c:val>
        </c:ser>
        <c:axId val="1736163011"/>
        <c:axId val="4863782"/>
      </c:barChart>
      <c:catAx>
        <c:axId val="1736163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3782"/>
      </c:catAx>
      <c:valAx>
        <c:axId val="4863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163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'Sales Report'!$R$43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Report'!$Q$44:$Q$55</c:f>
            </c:strRef>
          </c:cat>
          <c:val>
            <c:numRef>
              <c:f>'Sales Report'!$R$44:$R$55</c:f>
              <c:numCache/>
            </c:numRef>
          </c:val>
        </c:ser>
        <c:ser>
          <c:idx val="1"/>
          <c:order val="1"/>
          <c:tx>
            <c:strRef>
              <c:f>'Sales Report'!$S$43</c:f>
            </c:strRef>
          </c:tx>
          <c:cat>
            <c:strRef>
              <c:f>'Sales Report'!$Q$44:$Q$55</c:f>
            </c:strRef>
          </c:cat>
          <c:val>
            <c:numRef>
              <c:f>'Sales Report'!$S$44:$S$55</c:f>
              <c:numCache/>
            </c:numRef>
          </c:val>
        </c:ser>
        <c:axId val="739015948"/>
        <c:axId val="1593594303"/>
      </c:barChart>
      <c:catAx>
        <c:axId val="739015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594303"/>
      </c:catAx>
      <c:valAx>
        <c:axId val="1593594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015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'Online Sales Report'!$H$9:$H$27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15</xdr:row>
      <xdr:rowOff>28575</xdr:rowOff>
    </xdr:from>
    <xdr:ext cx="3524250" cy="2181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152400</xdr:colOff>
      <xdr:row>56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19050</xdr:colOff>
      <xdr:row>52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152400</xdr:colOff>
      <xdr:row>0</xdr:row>
      <xdr:rowOff>0</xdr:rowOff>
    </xdr:from>
    <xdr:ext cx="1857375" cy="695325"/>
    <xdr:pic>
      <xdr:nvPicPr>
        <xdr:cNvPr descr="VEI logo.jpg" id="0" name="image1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15</xdr:row>
      <xdr:rowOff>28575</xdr:rowOff>
    </xdr:from>
    <xdr:ext cx="3524250" cy="2181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152400</xdr:colOff>
      <xdr:row>0</xdr:row>
      <xdr:rowOff>0</xdr:rowOff>
    </xdr:from>
    <xdr:ext cx="1857375" cy="695325"/>
    <xdr:pic>
      <xdr:nvPicPr>
        <xdr:cNvPr descr="VEI logo.jpg"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8.71"/>
    <col customWidth="1" min="3" max="3" width="8.86"/>
    <col customWidth="1" min="4" max="4" width="39.0"/>
    <col customWidth="1" min="5" max="5" width="14.71"/>
    <col customWidth="1" min="6" max="6" width="16.86"/>
    <col customWidth="1" min="7" max="7" width="6.71"/>
    <col customWidth="1" min="8" max="8" width="37.57"/>
    <col customWidth="1" min="9" max="9" width="23.0"/>
    <col customWidth="1" min="10" max="10" width="15.57"/>
    <col customWidth="1" min="11" max="11" width="12.29"/>
    <col customWidth="1" min="12" max="12" width="10.57"/>
    <col customWidth="1" min="13" max="15" width="8.86"/>
    <col customWidth="1" min="16" max="16" width="10.57"/>
    <col customWidth="1" min="17" max="29" width="8.86"/>
  </cols>
  <sheetData>
    <row r="1" ht="57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5"/>
      <c r="L1" s="5"/>
    </row>
    <row r="2" ht="12.0" customHeight="1">
      <c r="A2" s="6"/>
      <c r="B2" s="7"/>
      <c r="C2" s="8" t="s">
        <v>1</v>
      </c>
      <c r="D2" s="4"/>
      <c r="E2" s="4"/>
      <c r="F2" s="4"/>
      <c r="G2" s="4"/>
      <c r="H2" s="4"/>
      <c r="I2" s="4"/>
      <c r="J2" s="4"/>
      <c r="K2" s="9"/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4.5" customHeight="1">
      <c r="A3" s="12"/>
      <c r="B3" s="7"/>
      <c r="C3" s="13"/>
      <c r="D3" s="9"/>
      <c r="E3" s="9"/>
      <c r="F3" s="9"/>
      <c r="G3" s="9"/>
      <c r="H3" s="9"/>
      <c r="I3" s="9"/>
      <c r="J3" s="9"/>
      <c r="K3" s="9"/>
      <c r="L3" s="9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24.75" customHeight="1">
      <c r="A4" s="12"/>
      <c r="B4" s="7"/>
      <c r="C4" s="14" t="s">
        <v>2</v>
      </c>
      <c r="D4" s="15">
        <v>45768.0</v>
      </c>
      <c r="E4" s="16"/>
      <c r="F4" s="17" t="s">
        <v>3</v>
      </c>
      <c r="G4" s="18" t="s">
        <v>4</v>
      </c>
      <c r="H4" s="19"/>
      <c r="I4" s="19"/>
      <c r="J4" s="16"/>
      <c r="K4" s="9"/>
      <c r="L4" s="9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ht="6.0" customHeight="1">
      <c r="A5" s="12"/>
      <c r="B5" s="7"/>
      <c r="C5" s="20"/>
      <c r="D5" s="21"/>
      <c r="E5" s="21"/>
      <c r="F5" s="21"/>
      <c r="G5" s="21"/>
      <c r="H5" s="21"/>
      <c r="I5" s="21"/>
      <c r="J5" s="21"/>
      <c r="K5" s="9"/>
      <c r="L5" s="9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18.0" customHeight="1">
      <c r="A6" s="22"/>
      <c r="B6" s="7"/>
      <c r="C6" s="23" t="s">
        <v>5</v>
      </c>
      <c r="D6" s="4"/>
      <c r="E6" s="4"/>
      <c r="F6" s="4"/>
      <c r="G6" s="4"/>
      <c r="H6" s="4"/>
      <c r="I6" s="4"/>
      <c r="J6" s="4"/>
      <c r="K6" s="9"/>
      <c r="L6" s="9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ht="6.0" customHeight="1">
      <c r="A7" s="22"/>
      <c r="B7" s="7"/>
      <c r="C7" s="7"/>
      <c r="D7" s="7"/>
      <c r="E7" s="7"/>
      <c r="F7" s="7"/>
      <c r="G7" s="7"/>
      <c r="H7" s="7"/>
      <c r="I7" s="21"/>
      <c r="J7" s="21"/>
      <c r="K7" s="9"/>
      <c r="L7" s="9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ht="18.0" customHeight="1">
      <c r="B8" s="9"/>
      <c r="C8" s="25" t="s">
        <v>6</v>
      </c>
      <c r="D8" s="4"/>
      <c r="E8" s="4"/>
      <c r="F8" s="4"/>
      <c r="G8" s="26"/>
      <c r="H8" s="27" t="s">
        <v>7</v>
      </c>
      <c r="I8" s="28"/>
      <c r="J8" s="28"/>
      <c r="K8" s="26" t="s">
        <v>8</v>
      </c>
      <c r="L8" s="5" t="s">
        <v>9</v>
      </c>
      <c r="Q8" s="29" t="s">
        <v>10</v>
      </c>
      <c r="R8" s="29" t="s">
        <v>11</v>
      </c>
      <c r="S8" s="29" t="s">
        <v>12</v>
      </c>
      <c r="T8" s="29" t="s">
        <v>13</v>
      </c>
      <c r="U8" s="29" t="s">
        <v>14</v>
      </c>
      <c r="V8" s="29" t="s">
        <v>15</v>
      </c>
      <c r="W8" s="29" t="s">
        <v>16</v>
      </c>
      <c r="X8" s="30" t="s">
        <v>17</v>
      </c>
      <c r="Y8" s="31" t="s">
        <v>18</v>
      </c>
      <c r="AA8" s="32"/>
      <c r="AB8" s="33"/>
      <c r="AC8" s="34"/>
    </row>
    <row r="9" ht="18.0" customHeight="1">
      <c r="B9" s="9"/>
      <c r="C9" s="35" t="s">
        <v>8</v>
      </c>
      <c r="D9" s="19"/>
      <c r="E9" s="16"/>
      <c r="F9" s="36">
        <f>SUM(K9:K40)</f>
        <v>1293889.12</v>
      </c>
      <c r="G9" s="26"/>
      <c r="H9" s="37" t="s">
        <v>19</v>
      </c>
      <c r="I9" s="38">
        <f>Y9</f>
        <v>334</v>
      </c>
      <c r="J9" s="16"/>
      <c r="K9" s="39">
        <f>SUM(I9*459.99)</f>
        <v>153636.66</v>
      </c>
      <c r="L9" s="40">
        <f>K9/K41</f>
        <v>0.1187402055</v>
      </c>
      <c r="N9" s="41" t="s">
        <v>20</v>
      </c>
      <c r="O9" s="42" t="s">
        <v>19</v>
      </c>
      <c r="P9" s="16"/>
      <c r="Q9" s="43">
        <v>16.0</v>
      </c>
      <c r="R9" s="44">
        <v>94.0</v>
      </c>
      <c r="S9" s="44">
        <v>35.0</v>
      </c>
      <c r="T9" s="43">
        <v>18.0</v>
      </c>
      <c r="U9" s="45">
        <v>101.0</v>
      </c>
      <c r="V9" s="45">
        <v>44.0</v>
      </c>
      <c r="W9" s="45">
        <v>3.0</v>
      </c>
      <c r="X9" s="46">
        <v>23.0</v>
      </c>
      <c r="Y9" s="47">
        <f>SUM(Q9:X9)</f>
        <v>334</v>
      </c>
      <c r="Z9" s="48">
        <f>SUM(Q11:U11)</f>
        <v>184</v>
      </c>
      <c r="AA9" s="32"/>
      <c r="AB9" s="33"/>
      <c r="AC9" s="34"/>
    </row>
    <row r="10" ht="18.0" customHeight="1">
      <c r="B10" s="9"/>
      <c r="C10" s="49"/>
      <c r="D10" s="49"/>
      <c r="E10" s="49"/>
      <c r="F10" s="50"/>
      <c r="G10" s="26"/>
      <c r="H10" s="37" t="s">
        <v>21</v>
      </c>
      <c r="I10" s="51">
        <v>184.0</v>
      </c>
      <c r="J10" s="16"/>
      <c r="K10" s="39">
        <f>I10*98.99</f>
        <v>18214.16</v>
      </c>
      <c r="L10" s="52">
        <f>K10/K41</f>
        <v>0.01407706404</v>
      </c>
      <c r="O10" s="53"/>
      <c r="P10" s="53"/>
      <c r="Q10" s="45"/>
      <c r="R10" s="54"/>
      <c r="S10" s="54"/>
      <c r="T10" s="43"/>
      <c r="U10" s="45"/>
      <c r="V10" s="45"/>
      <c r="W10" s="45"/>
      <c r="X10" s="46"/>
      <c r="Y10" s="47"/>
      <c r="Z10" s="48">
        <f>SUM(V11:X11)</f>
        <v>27</v>
      </c>
      <c r="AA10" s="32"/>
      <c r="AB10" s="33"/>
      <c r="AC10" s="34"/>
    </row>
    <row r="11" ht="18.0" customHeight="1">
      <c r="B11" s="9"/>
      <c r="C11" s="35" t="s">
        <v>22</v>
      </c>
      <c r="D11" s="19"/>
      <c r="E11" s="16"/>
      <c r="F11" s="50">
        <v>0.0</v>
      </c>
      <c r="G11" s="26"/>
      <c r="H11" s="37" t="s">
        <v>23</v>
      </c>
      <c r="I11" s="51">
        <v>27.0</v>
      </c>
      <c r="J11" s="16"/>
      <c r="K11" s="39">
        <f>I11*119.99</f>
        <v>3239.73</v>
      </c>
      <c r="L11" s="52">
        <f t="shared" ref="L11:L40" si="1">K11/$K$41</f>
        <v>0.002503869883</v>
      </c>
      <c r="O11" s="55" t="s">
        <v>23</v>
      </c>
      <c r="P11" s="16"/>
      <c r="Q11" s="56">
        <v>90.0</v>
      </c>
      <c r="R11" s="57">
        <v>0.0</v>
      </c>
      <c r="S11" s="57">
        <v>11.0</v>
      </c>
      <c r="T11" s="58">
        <v>37.0</v>
      </c>
      <c r="U11" s="56">
        <v>46.0</v>
      </c>
      <c r="V11" s="56">
        <v>12.0</v>
      </c>
      <c r="W11" s="56">
        <v>8.0</v>
      </c>
      <c r="X11" s="59">
        <v>7.0</v>
      </c>
      <c r="Y11" s="47">
        <f t="shared" ref="Y11:Y39" si="2">SUM(Q11:X11)</f>
        <v>211</v>
      </c>
      <c r="AA11" s="32"/>
      <c r="AB11" s="33"/>
      <c r="AC11" s="34"/>
    </row>
    <row r="12" ht="18.0" customHeight="1">
      <c r="B12" s="26"/>
      <c r="C12" s="60" t="s">
        <v>24</v>
      </c>
      <c r="D12" s="19"/>
      <c r="E12" s="16"/>
      <c r="F12" s="61">
        <f>-(Baker!E8+Berna!E8+YBS!D10)</f>
        <v>886.19</v>
      </c>
      <c r="G12" s="26"/>
      <c r="H12" s="37" t="s">
        <v>25</v>
      </c>
      <c r="I12" s="38">
        <f t="shared" ref="I12:I39" si="3">Y12</f>
        <v>84</v>
      </c>
      <c r="J12" s="16"/>
      <c r="K12" s="39">
        <f>I12*279.99</f>
        <v>23519.16</v>
      </c>
      <c r="L12" s="52">
        <f t="shared" si="1"/>
        <v>0.01817710624</v>
      </c>
      <c r="M12" s="62">
        <f>SUM(K9:K39)</f>
        <v>612200.68</v>
      </c>
      <c r="O12" s="55" t="s">
        <v>25</v>
      </c>
      <c r="P12" s="16"/>
      <c r="Q12" s="58">
        <v>17.0</v>
      </c>
      <c r="R12" s="56">
        <v>0.0</v>
      </c>
      <c r="S12" s="56">
        <v>9.0</v>
      </c>
      <c r="T12" s="56">
        <v>7.0</v>
      </c>
      <c r="U12" s="56">
        <v>22.0</v>
      </c>
      <c r="V12" s="56">
        <v>12.0</v>
      </c>
      <c r="W12" s="56">
        <v>10.0</v>
      </c>
      <c r="X12" s="59">
        <v>7.0</v>
      </c>
      <c r="Y12" s="47">
        <f t="shared" si="2"/>
        <v>84</v>
      </c>
      <c r="AA12" s="63">
        <f>SUM(Soft!E10+'Mini parent'!I3+OC!E9+Diego!E9+Baker!E9+Berna!E9+YBS!D12)</f>
        <v>553110.6615</v>
      </c>
      <c r="AB12" s="32"/>
      <c r="AC12" s="34"/>
    </row>
    <row r="13" ht="18.0" customHeight="1">
      <c r="B13" s="26"/>
      <c r="C13" s="64" t="s">
        <v>26</v>
      </c>
      <c r="D13" s="19"/>
      <c r="E13" s="16"/>
      <c r="F13" s="50">
        <f>Soft!E8+OC!E7+Diego!E7+Baker!E7+Berna!E7+YBS!D11+1428.92+5725.94</f>
        <v>43211.97145</v>
      </c>
      <c r="G13" s="26"/>
      <c r="H13" s="37" t="s">
        <v>27</v>
      </c>
      <c r="I13" s="38">
        <f t="shared" si="3"/>
        <v>28</v>
      </c>
      <c r="J13" s="16"/>
      <c r="K13" s="39">
        <f>SUM(I13*249.99)</f>
        <v>6999.72</v>
      </c>
      <c r="L13" s="52">
        <f t="shared" si="1"/>
        <v>0.005409829862</v>
      </c>
      <c r="N13" s="41"/>
      <c r="O13" s="55" t="s">
        <v>27</v>
      </c>
      <c r="P13" s="16"/>
      <c r="Q13" s="58">
        <v>14.0</v>
      </c>
      <c r="R13" s="65">
        <v>0.0</v>
      </c>
      <c r="S13" s="65">
        <v>0.0</v>
      </c>
      <c r="T13" s="58">
        <v>0.0</v>
      </c>
      <c r="U13" s="56">
        <v>9.0</v>
      </c>
      <c r="V13" s="56">
        <v>2.0</v>
      </c>
      <c r="W13" s="56">
        <v>2.0</v>
      </c>
      <c r="X13" s="59">
        <v>1.0</v>
      </c>
      <c r="Y13" s="47">
        <f t="shared" si="2"/>
        <v>28</v>
      </c>
      <c r="Z13" s="48">
        <f>SUM(Y14:Y20)</f>
        <v>230</v>
      </c>
      <c r="AA13" s="32"/>
      <c r="AB13" s="32"/>
      <c r="AC13" s="34"/>
    </row>
    <row r="14" ht="18.0" customHeight="1">
      <c r="B14" s="9"/>
      <c r="C14" s="66" t="s">
        <v>28</v>
      </c>
      <c r="D14" s="67"/>
      <c r="E14" s="67"/>
      <c r="F14" s="68">
        <f>SUM(F9:F13)</f>
        <v>1337987.281</v>
      </c>
      <c r="G14" s="26"/>
      <c r="H14" s="37" t="s">
        <v>29</v>
      </c>
      <c r="I14" s="38">
        <f t="shared" si="3"/>
        <v>45</v>
      </c>
      <c r="J14" s="16"/>
      <c r="K14" s="69">
        <f t="shared" ref="K14:K20" si="4">I14*187.99</f>
        <v>8459.55</v>
      </c>
      <c r="L14" s="52">
        <f t="shared" si="1"/>
        <v>0.006538079554</v>
      </c>
      <c r="N14" s="41" t="s">
        <v>30</v>
      </c>
      <c r="O14" s="55" t="s">
        <v>29</v>
      </c>
      <c r="P14" s="16"/>
      <c r="Q14" s="58">
        <v>30.0</v>
      </c>
      <c r="R14" s="65">
        <v>0.0</v>
      </c>
      <c r="S14" s="65">
        <v>0.0</v>
      </c>
      <c r="T14" s="58">
        <v>10.0</v>
      </c>
      <c r="U14" s="56">
        <v>0.0</v>
      </c>
      <c r="V14" s="56">
        <v>1.0</v>
      </c>
      <c r="W14" s="56">
        <v>0.0</v>
      </c>
      <c r="X14" s="59">
        <v>4.0</v>
      </c>
      <c r="Y14" s="47">
        <f t="shared" si="2"/>
        <v>45</v>
      </c>
      <c r="AA14" s="32"/>
      <c r="AB14" s="32"/>
      <c r="AC14" s="34"/>
    </row>
    <row r="15" ht="18.0" customHeight="1">
      <c r="B15" s="9"/>
      <c r="C15" s="9"/>
      <c r="D15" s="9"/>
      <c r="E15" s="9"/>
      <c r="F15" s="5"/>
      <c r="G15" s="9"/>
      <c r="H15" s="37" t="s">
        <v>31</v>
      </c>
      <c r="I15" s="38">
        <f t="shared" si="3"/>
        <v>43</v>
      </c>
      <c r="J15" s="16"/>
      <c r="K15" s="69">
        <f t="shared" si="4"/>
        <v>8083.57</v>
      </c>
      <c r="L15" s="52">
        <f t="shared" si="1"/>
        <v>0.00624749824</v>
      </c>
      <c r="N15" s="70"/>
      <c r="O15" s="55" t="s">
        <v>31</v>
      </c>
      <c r="P15" s="16"/>
      <c r="Q15" s="58">
        <v>31.0</v>
      </c>
      <c r="R15" s="65">
        <v>0.0</v>
      </c>
      <c r="S15" s="65">
        <v>0.0</v>
      </c>
      <c r="T15" s="58">
        <v>3.0</v>
      </c>
      <c r="U15" s="56">
        <v>3.0</v>
      </c>
      <c r="V15" s="56">
        <v>4.0</v>
      </c>
      <c r="W15" s="56">
        <v>0.0</v>
      </c>
      <c r="X15" s="59">
        <v>2.0</v>
      </c>
      <c r="Y15" s="47">
        <f t="shared" si="2"/>
        <v>43</v>
      </c>
      <c r="AA15" s="32"/>
      <c r="AB15" s="32"/>
      <c r="AC15" s="34"/>
    </row>
    <row r="16" ht="18.0" customHeight="1">
      <c r="B16" s="9"/>
      <c r="C16" s="9"/>
      <c r="D16" s="9"/>
      <c r="E16" s="9"/>
      <c r="F16" s="5"/>
      <c r="G16" s="26"/>
      <c r="H16" s="37" t="s">
        <v>32</v>
      </c>
      <c r="I16" s="38">
        <f t="shared" si="3"/>
        <v>34</v>
      </c>
      <c r="J16" s="16"/>
      <c r="K16" s="69">
        <f t="shared" si="4"/>
        <v>6391.66</v>
      </c>
      <c r="L16" s="52">
        <f t="shared" si="1"/>
        <v>0.004939882329</v>
      </c>
      <c r="M16" s="71"/>
      <c r="O16" s="72" t="s">
        <v>32</v>
      </c>
      <c r="P16" s="16"/>
      <c r="Q16" s="56">
        <v>15.0</v>
      </c>
      <c r="R16" s="65">
        <v>0.0</v>
      </c>
      <c r="S16" s="65">
        <v>0.0</v>
      </c>
      <c r="T16" s="58">
        <v>4.0</v>
      </c>
      <c r="U16" s="56">
        <v>5.0</v>
      </c>
      <c r="V16" s="56">
        <v>4.0</v>
      </c>
      <c r="W16" s="56">
        <v>1.0</v>
      </c>
      <c r="X16" s="59">
        <v>5.0</v>
      </c>
      <c r="Y16" s="47">
        <f t="shared" si="2"/>
        <v>34</v>
      </c>
      <c r="AB16" s="32"/>
      <c r="AC16" s="34"/>
    </row>
    <row r="17" ht="18.0" customHeight="1">
      <c r="B17" s="9"/>
      <c r="C17" s="9"/>
      <c r="D17" s="9"/>
      <c r="E17" s="9"/>
      <c r="F17" s="5"/>
      <c r="G17" s="9"/>
      <c r="H17" s="37" t="s">
        <v>33</v>
      </c>
      <c r="I17" s="38">
        <f t="shared" si="3"/>
        <v>19</v>
      </c>
      <c r="J17" s="16"/>
      <c r="K17" s="69">
        <f t="shared" si="4"/>
        <v>3571.81</v>
      </c>
      <c r="L17" s="52">
        <f t="shared" si="1"/>
        <v>0.002760522478</v>
      </c>
      <c r="M17" s="71"/>
      <c r="O17" s="30" t="s">
        <v>33</v>
      </c>
      <c r="P17" s="16"/>
      <c r="Q17" s="56">
        <v>11.0</v>
      </c>
      <c r="R17" s="73">
        <v>0.0</v>
      </c>
      <c r="S17" s="73">
        <v>0.0</v>
      </c>
      <c r="T17" s="56">
        <v>3.0</v>
      </c>
      <c r="U17" s="56">
        <v>2.0</v>
      </c>
      <c r="V17" s="56">
        <v>1.0</v>
      </c>
      <c r="W17" s="56">
        <v>2.0</v>
      </c>
      <c r="X17" s="59">
        <v>0.0</v>
      </c>
      <c r="Y17" s="47">
        <f t="shared" si="2"/>
        <v>19</v>
      </c>
      <c r="AB17" s="32"/>
      <c r="AC17" s="34"/>
    </row>
    <row r="18" ht="18.0" customHeight="1">
      <c r="B18" s="9"/>
      <c r="C18" s="9"/>
      <c r="D18" s="9"/>
      <c r="E18" s="9"/>
      <c r="F18" s="5"/>
      <c r="G18" s="9"/>
      <c r="H18" s="37" t="s">
        <v>34</v>
      </c>
      <c r="I18" s="38">
        <f t="shared" si="3"/>
        <v>17</v>
      </c>
      <c r="J18" s="16"/>
      <c r="K18" s="69">
        <f t="shared" si="4"/>
        <v>3195.83</v>
      </c>
      <c r="L18" s="52">
        <f t="shared" si="1"/>
        <v>0.002469941165</v>
      </c>
      <c r="O18" s="74" t="s">
        <v>34</v>
      </c>
      <c r="P18" s="16"/>
      <c r="Q18" s="56">
        <v>6.0</v>
      </c>
      <c r="R18" s="56">
        <v>0.0</v>
      </c>
      <c r="S18" s="56">
        <v>0.0</v>
      </c>
      <c r="T18" s="56">
        <v>3.0</v>
      </c>
      <c r="U18" s="56">
        <v>1.0</v>
      </c>
      <c r="V18" s="56">
        <v>1.0</v>
      </c>
      <c r="W18" s="56">
        <v>6.0</v>
      </c>
      <c r="X18" s="59">
        <v>0.0</v>
      </c>
      <c r="Y18" s="47">
        <f t="shared" si="2"/>
        <v>17</v>
      </c>
      <c r="AB18" s="32"/>
      <c r="AC18" s="34"/>
    </row>
    <row r="19" ht="18.0" customHeight="1">
      <c r="B19" s="9"/>
      <c r="C19" s="9"/>
      <c r="D19" s="9"/>
      <c r="E19" s="9"/>
      <c r="F19" s="5"/>
      <c r="G19" s="26"/>
      <c r="H19" s="37" t="s">
        <v>35</v>
      </c>
      <c r="I19" s="38">
        <f t="shared" si="3"/>
        <v>28</v>
      </c>
      <c r="J19" s="16"/>
      <c r="K19" s="69">
        <f t="shared" si="4"/>
        <v>5263.72</v>
      </c>
      <c r="L19" s="52">
        <f t="shared" si="1"/>
        <v>0.004068138389</v>
      </c>
      <c r="N19" s="41"/>
      <c r="O19" s="42" t="s">
        <v>35</v>
      </c>
      <c r="P19" s="16"/>
      <c r="Q19" s="56">
        <v>9.0</v>
      </c>
      <c r="R19" s="56">
        <v>0.0</v>
      </c>
      <c r="S19" s="56">
        <v>0.0</v>
      </c>
      <c r="T19" s="56">
        <v>5.0</v>
      </c>
      <c r="U19" s="56">
        <v>8.0</v>
      </c>
      <c r="V19" s="56">
        <v>2.0</v>
      </c>
      <c r="W19" s="56">
        <v>1.0</v>
      </c>
      <c r="X19" s="59">
        <v>3.0</v>
      </c>
      <c r="Y19" s="47">
        <f t="shared" si="2"/>
        <v>28</v>
      </c>
      <c r="AB19" s="32"/>
      <c r="AC19" s="34"/>
    </row>
    <row r="20" ht="18.0" customHeight="1">
      <c r="B20" s="9"/>
      <c r="C20" s="9"/>
      <c r="D20" s="9"/>
      <c r="E20" s="9"/>
      <c r="F20" s="5"/>
      <c r="G20" s="9"/>
      <c r="H20" s="37" t="s">
        <v>36</v>
      </c>
      <c r="I20" s="38">
        <f t="shared" si="3"/>
        <v>44</v>
      </c>
      <c r="J20" s="16"/>
      <c r="K20" s="69">
        <f t="shared" si="4"/>
        <v>8271.56</v>
      </c>
      <c r="L20" s="52">
        <f t="shared" si="1"/>
        <v>0.006392788897</v>
      </c>
      <c r="O20" s="55" t="s">
        <v>36</v>
      </c>
      <c r="P20" s="16"/>
      <c r="Q20" s="56">
        <v>23.0</v>
      </c>
      <c r="R20" s="56">
        <v>0.0</v>
      </c>
      <c r="S20" s="56">
        <v>0.0</v>
      </c>
      <c r="T20" s="56">
        <v>8.0</v>
      </c>
      <c r="U20" s="56">
        <v>4.0</v>
      </c>
      <c r="V20" s="56">
        <v>4.0</v>
      </c>
      <c r="W20" s="56">
        <v>5.0</v>
      </c>
      <c r="X20" s="59">
        <v>0.0</v>
      </c>
      <c r="Y20" s="47">
        <f t="shared" si="2"/>
        <v>44</v>
      </c>
      <c r="AB20" s="32"/>
      <c r="AC20" s="34"/>
    </row>
    <row r="21" ht="18.0" customHeight="1">
      <c r="B21" s="5"/>
      <c r="C21" s="5"/>
      <c r="D21" s="5"/>
      <c r="E21" s="5"/>
      <c r="F21" s="5"/>
      <c r="G21" s="26"/>
      <c r="H21" s="37" t="s">
        <v>37</v>
      </c>
      <c r="I21" s="38">
        <f t="shared" si="3"/>
        <v>1</v>
      </c>
      <c r="J21" s="16"/>
      <c r="K21" s="39">
        <f t="shared" ref="K21:K25" si="5">169.99*I21</f>
        <v>169.99</v>
      </c>
      <c r="L21" s="52">
        <f t="shared" si="1"/>
        <v>0.0001313791092</v>
      </c>
      <c r="N21" s="75" t="s">
        <v>38</v>
      </c>
      <c r="O21" s="55" t="s">
        <v>37</v>
      </c>
      <c r="P21" s="16"/>
      <c r="Q21" s="76"/>
      <c r="R21" s="56">
        <v>0.0</v>
      </c>
      <c r="S21" s="56">
        <v>0.0</v>
      </c>
      <c r="T21" s="56">
        <v>0.0</v>
      </c>
      <c r="U21" s="56">
        <v>0.0</v>
      </c>
      <c r="V21" s="56">
        <v>1.0</v>
      </c>
      <c r="W21" s="56">
        <v>0.0</v>
      </c>
      <c r="X21" s="59">
        <v>0.0</v>
      </c>
      <c r="Y21" s="47">
        <f t="shared" si="2"/>
        <v>1</v>
      </c>
      <c r="Z21" s="48">
        <f>SUM(Y21:Y26)</f>
        <v>13</v>
      </c>
      <c r="AB21" s="32"/>
      <c r="AC21" s="34"/>
    </row>
    <row r="22" ht="18.0" customHeight="1">
      <c r="B22" s="5"/>
      <c r="C22" s="5"/>
      <c r="D22" s="5"/>
      <c r="E22" s="5"/>
      <c r="F22" s="5"/>
      <c r="G22" s="9"/>
      <c r="H22" s="37" t="s">
        <v>39</v>
      </c>
      <c r="I22" s="38">
        <f t="shared" si="3"/>
        <v>1</v>
      </c>
      <c r="J22" s="16"/>
      <c r="K22" s="39">
        <f t="shared" si="5"/>
        <v>169.99</v>
      </c>
      <c r="L22" s="52">
        <f t="shared" si="1"/>
        <v>0.0001313791092</v>
      </c>
      <c r="N22" s="41"/>
      <c r="O22" s="55" t="s">
        <v>39</v>
      </c>
      <c r="P22" s="16"/>
      <c r="Q22" s="76"/>
      <c r="R22" s="56">
        <v>0.0</v>
      </c>
      <c r="S22" s="56">
        <v>0.0</v>
      </c>
      <c r="T22" s="56">
        <v>0.0</v>
      </c>
      <c r="U22" s="56">
        <v>0.0</v>
      </c>
      <c r="V22" s="56">
        <v>0.0</v>
      </c>
      <c r="W22" s="56">
        <v>1.0</v>
      </c>
      <c r="X22" s="59">
        <v>0.0</v>
      </c>
      <c r="Y22" s="47">
        <f t="shared" si="2"/>
        <v>1</v>
      </c>
      <c r="Z22" s="48">
        <f>SUM(Y27:Y32)</f>
        <v>58</v>
      </c>
      <c r="AB22" s="32"/>
      <c r="AC22" s="34"/>
    </row>
    <row r="23" ht="18.0" customHeight="1">
      <c r="B23" s="5"/>
      <c r="C23" s="5"/>
      <c r="D23" s="5"/>
      <c r="E23" s="5"/>
      <c r="F23" s="5"/>
      <c r="G23" s="9"/>
      <c r="H23" s="37" t="s">
        <v>40</v>
      </c>
      <c r="I23" s="38">
        <f t="shared" si="3"/>
        <v>6</v>
      </c>
      <c r="J23" s="16"/>
      <c r="K23" s="39">
        <f t="shared" si="5"/>
        <v>1019.94</v>
      </c>
      <c r="L23" s="52">
        <f t="shared" si="1"/>
        <v>0.0007882746553</v>
      </c>
      <c r="N23" s="41"/>
      <c r="O23" s="72" t="s">
        <v>40</v>
      </c>
      <c r="P23" s="16"/>
      <c r="Q23" s="76"/>
      <c r="R23" s="56">
        <v>0.0</v>
      </c>
      <c r="S23" s="56">
        <v>0.0</v>
      </c>
      <c r="T23" s="56">
        <v>0.0</v>
      </c>
      <c r="U23" s="56">
        <v>0.0</v>
      </c>
      <c r="V23" s="56">
        <v>2.0</v>
      </c>
      <c r="W23" s="56">
        <v>0.0</v>
      </c>
      <c r="X23" s="59">
        <v>4.0</v>
      </c>
      <c r="Y23" s="47">
        <f t="shared" si="2"/>
        <v>6</v>
      </c>
      <c r="AB23" s="32"/>
      <c r="AC23" s="34"/>
    </row>
    <row r="24" ht="18.0" customHeight="1">
      <c r="B24" s="5"/>
      <c r="C24" s="5"/>
      <c r="D24" s="5"/>
      <c r="E24" s="5"/>
      <c r="F24" s="5"/>
      <c r="G24" s="9"/>
      <c r="H24" s="37" t="s">
        <v>41</v>
      </c>
      <c r="I24" s="38">
        <f t="shared" si="3"/>
        <v>3</v>
      </c>
      <c r="J24" s="16"/>
      <c r="K24" s="39">
        <f t="shared" si="5"/>
        <v>509.97</v>
      </c>
      <c r="L24" s="52">
        <f t="shared" si="1"/>
        <v>0.0003941373276</v>
      </c>
      <c r="N24" s="70"/>
      <c r="O24" s="30" t="s">
        <v>41</v>
      </c>
      <c r="P24" s="16"/>
      <c r="Q24" s="76"/>
      <c r="R24" s="56">
        <v>0.0</v>
      </c>
      <c r="S24" s="56">
        <v>0.0</v>
      </c>
      <c r="T24" s="56">
        <v>0.0</v>
      </c>
      <c r="U24" s="56">
        <v>0.0</v>
      </c>
      <c r="V24" s="56">
        <v>0.0</v>
      </c>
      <c r="W24" s="56">
        <v>3.0</v>
      </c>
      <c r="X24" s="59">
        <v>0.0</v>
      </c>
      <c r="Y24" s="47">
        <f t="shared" si="2"/>
        <v>3</v>
      </c>
      <c r="AB24" s="32"/>
      <c r="AC24" s="34"/>
    </row>
    <row r="25" ht="18.0" customHeight="1">
      <c r="B25" s="5"/>
      <c r="C25" s="5"/>
      <c r="D25" s="5"/>
      <c r="E25" s="5"/>
      <c r="F25" s="5"/>
      <c r="G25" s="9"/>
      <c r="H25" s="37" t="s">
        <v>42</v>
      </c>
      <c r="I25" s="38">
        <f t="shared" si="3"/>
        <v>0</v>
      </c>
      <c r="J25" s="16"/>
      <c r="K25" s="39">
        <f t="shared" si="5"/>
        <v>0</v>
      </c>
      <c r="L25" s="52">
        <f t="shared" si="1"/>
        <v>0</v>
      </c>
      <c r="O25" s="74" t="s">
        <v>42</v>
      </c>
      <c r="P25" s="16"/>
      <c r="Q25" s="76"/>
      <c r="R25" s="56">
        <v>0.0</v>
      </c>
      <c r="S25" s="56">
        <v>0.0</v>
      </c>
      <c r="T25" s="56">
        <v>0.0</v>
      </c>
      <c r="U25" s="56">
        <v>0.0</v>
      </c>
      <c r="V25" s="56">
        <v>0.0</v>
      </c>
      <c r="W25" s="56">
        <v>0.0</v>
      </c>
      <c r="X25" s="59">
        <v>0.0</v>
      </c>
      <c r="Y25" s="47">
        <f t="shared" si="2"/>
        <v>0</v>
      </c>
      <c r="AB25" s="32"/>
      <c r="AC25" s="34"/>
    </row>
    <row r="26" ht="18.0" customHeight="1">
      <c r="B26" s="5"/>
      <c r="C26" s="5"/>
      <c r="D26" s="5"/>
      <c r="E26" s="5"/>
      <c r="F26" s="5"/>
      <c r="G26" s="9"/>
      <c r="H26" s="37" t="s">
        <v>43</v>
      </c>
      <c r="I26" s="38">
        <f t="shared" si="3"/>
        <v>2</v>
      </c>
      <c r="J26" s="16"/>
      <c r="K26" s="77">
        <f>49.99*I26</f>
        <v>99.98</v>
      </c>
      <c r="L26" s="52">
        <f t="shared" si="1"/>
        <v>0.00007727091793</v>
      </c>
      <c r="O26" s="42" t="s">
        <v>43</v>
      </c>
      <c r="P26" s="16"/>
      <c r="Q26" s="76"/>
      <c r="R26" s="56">
        <v>0.0</v>
      </c>
      <c r="S26" s="56">
        <v>0.0</v>
      </c>
      <c r="T26" s="56">
        <v>0.0</v>
      </c>
      <c r="U26" s="56">
        <v>0.0</v>
      </c>
      <c r="V26" s="56">
        <v>0.0</v>
      </c>
      <c r="W26" s="56">
        <v>2.0</v>
      </c>
      <c r="X26" s="59">
        <v>0.0</v>
      </c>
      <c r="Y26" s="47">
        <f t="shared" si="2"/>
        <v>2</v>
      </c>
      <c r="AB26" s="32"/>
      <c r="AC26" s="34"/>
    </row>
    <row r="27" ht="18.0" customHeight="1">
      <c r="B27" s="5"/>
      <c r="C27" s="5"/>
      <c r="D27" s="32"/>
      <c r="E27" s="34"/>
      <c r="F27" s="5"/>
      <c r="G27" s="9"/>
      <c r="H27" s="37" t="s">
        <v>44</v>
      </c>
      <c r="I27" s="38">
        <f t="shared" si="3"/>
        <v>10</v>
      </c>
      <c r="J27" s="16"/>
      <c r="K27" s="77">
        <f t="shared" ref="K27:K28" si="6">SUM(I27*49.99)</f>
        <v>499.9</v>
      </c>
      <c r="L27" s="52">
        <f t="shared" si="1"/>
        <v>0.0003863545896</v>
      </c>
      <c r="N27" s="75" t="s">
        <v>45</v>
      </c>
      <c r="O27" s="55" t="s">
        <v>44</v>
      </c>
      <c r="P27" s="16"/>
      <c r="Q27" s="76"/>
      <c r="R27" s="56">
        <v>0.0</v>
      </c>
      <c r="S27" s="56">
        <v>0.0</v>
      </c>
      <c r="T27" s="56">
        <v>0.0</v>
      </c>
      <c r="U27" s="56">
        <v>0.0</v>
      </c>
      <c r="V27" s="56">
        <v>4.0</v>
      </c>
      <c r="W27" s="56">
        <v>3.0</v>
      </c>
      <c r="X27" s="59">
        <v>3.0</v>
      </c>
      <c r="Y27" s="47">
        <f t="shared" si="2"/>
        <v>10</v>
      </c>
      <c r="AB27" s="32"/>
      <c r="AC27" s="34"/>
    </row>
    <row r="28" ht="18.0" customHeight="1">
      <c r="B28" s="5"/>
      <c r="C28" s="5"/>
      <c r="D28" s="32"/>
      <c r="E28" s="34"/>
      <c r="F28" s="5"/>
      <c r="G28" s="9"/>
      <c r="H28" s="37" t="s">
        <v>46</v>
      </c>
      <c r="I28" s="38">
        <f t="shared" si="3"/>
        <v>4</v>
      </c>
      <c r="J28" s="16"/>
      <c r="K28" s="77">
        <f t="shared" si="6"/>
        <v>199.96</v>
      </c>
      <c r="L28" s="52">
        <f t="shared" si="1"/>
        <v>0.0001545418359</v>
      </c>
      <c r="O28" s="55" t="s">
        <v>46</v>
      </c>
      <c r="P28" s="16"/>
      <c r="Q28" s="76"/>
      <c r="R28" s="56">
        <v>0.0</v>
      </c>
      <c r="S28" s="56">
        <v>0.0</v>
      </c>
      <c r="T28" s="56">
        <v>0.0</v>
      </c>
      <c r="U28" s="56">
        <v>0.0</v>
      </c>
      <c r="V28" s="56">
        <v>3.0</v>
      </c>
      <c r="W28" s="56">
        <v>1.0</v>
      </c>
      <c r="X28" s="59">
        <v>0.0</v>
      </c>
      <c r="Y28" s="47">
        <f t="shared" si="2"/>
        <v>4</v>
      </c>
      <c r="AB28" s="32"/>
      <c r="AC28" s="33"/>
    </row>
    <row r="29" ht="18.0" customHeight="1">
      <c r="B29" s="5"/>
      <c r="C29" s="5"/>
      <c r="D29" s="32"/>
      <c r="E29" s="34"/>
      <c r="F29" s="5"/>
      <c r="G29" s="9"/>
      <c r="H29" s="37" t="s">
        <v>47</v>
      </c>
      <c r="I29" s="38">
        <f t="shared" si="3"/>
        <v>1</v>
      </c>
      <c r="J29" s="16"/>
      <c r="K29" s="77">
        <f t="shared" ref="K29:K32" si="7">sum(I29*49.99)</f>
        <v>49.99</v>
      </c>
      <c r="L29" s="52">
        <f t="shared" si="1"/>
        <v>0.00003863545896</v>
      </c>
      <c r="O29" s="55" t="s">
        <v>47</v>
      </c>
      <c r="P29" s="16"/>
      <c r="Q29" s="76"/>
      <c r="R29" s="56">
        <v>0.0</v>
      </c>
      <c r="S29" s="56">
        <v>0.0</v>
      </c>
      <c r="T29" s="56">
        <v>0.0</v>
      </c>
      <c r="U29" s="56">
        <v>0.0</v>
      </c>
      <c r="V29" s="56">
        <v>0.0</v>
      </c>
      <c r="W29" s="56">
        <v>1.0</v>
      </c>
      <c r="X29" s="59">
        <v>0.0</v>
      </c>
      <c r="Y29" s="47">
        <f t="shared" si="2"/>
        <v>1</v>
      </c>
    </row>
    <row r="30" ht="18.0" customHeight="1">
      <c r="B30" s="5"/>
      <c r="C30" s="5"/>
      <c r="D30" s="32"/>
      <c r="E30" s="34"/>
      <c r="F30" s="5"/>
      <c r="G30" s="9"/>
      <c r="H30" s="37" t="s">
        <v>48</v>
      </c>
      <c r="I30" s="38">
        <f t="shared" si="3"/>
        <v>25</v>
      </c>
      <c r="J30" s="16"/>
      <c r="K30" s="77">
        <f t="shared" si="7"/>
        <v>1249.75</v>
      </c>
      <c r="L30" s="52">
        <f t="shared" si="1"/>
        <v>0.0009658864741</v>
      </c>
      <c r="O30" s="55" t="s">
        <v>48</v>
      </c>
      <c r="P30" s="16"/>
      <c r="Q30" s="76"/>
      <c r="R30" s="56">
        <v>0.0</v>
      </c>
      <c r="S30" s="56">
        <v>0.0</v>
      </c>
      <c r="T30" s="56">
        <v>0.0</v>
      </c>
      <c r="U30" s="56">
        <v>0.0</v>
      </c>
      <c r="V30" s="56">
        <v>1.0</v>
      </c>
      <c r="W30" s="56">
        <v>4.0</v>
      </c>
      <c r="X30" s="59">
        <v>20.0</v>
      </c>
      <c r="Y30" s="47">
        <f t="shared" si="2"/>
        <v>25</v>
      </c>
    </row>
    <row r="31" ht="18.0" customHeight="1">
      <c r="B31" s="5"/>
      <c r="C31" s="5"/>
      <c r="D31" s="32"/>
      <c r="E31" s="34"/>
      <c r="F31" s="5"/>
      <c r="G31" s="9"/>
      <c r="H31" s="37" t="s">
        <v>49</v>
      </c>
      <c r="I31" s="38">
        <f t="shared" si="3"/>
        <v>14</v>
      </c>
      <c r="J31" s="16"/>
      <c r="K31" s="77">
        <f t="shared" si="7"/>
        <v>699.86</v>
      </c>
      <c r="L31" s="52">
        <f t="shared" si="1"/>
        <v>0.0005408964255</v>
      </c>
      <c r="O31" s="55" t="s">
        <v>49</v>
      </c>
      <c r="P31" s="16"/>
      <c r="Q31" s="76"/>
      <c r="R31" s="56">
        <v>0.0</v>
      </c>
      <c r="S31" s="56">
        <v>0.0</v>
      </c>
      <c r="T31" s="56">
        <v>0.0</v>
      </c>
      <c r="U31" s="56">
        <v>0.0</v>
      </c>
      <c r="V31" s="56">
        <v>3.0</v>
      </c>
      <c r="W31" s="56">
        <v>0.0</v>
      </c>
      <c r="X31" s="59">
        <v>11.0</v>
      </c>
      <c r="Y31" s="47">
        <f t="shared" si="2"/>
        <v>14</v>
      </c>
    </row>
    <row r="32" ht="18.0" customHeight="1">
      <c r="B32" s="5"/>
      <c r="C32" s="5"/>
      <c r="D32" s="32"/>
      <c r="E32" s="34">
        <f>629.99*129</f>
        <v>81268.71</v>
      </c>
      <c r="F32" s="5">
        <f>SUM(I35:J37)</f>
        <v>129</v>
      </c>
      <c r="G32" s="9"/>
      <c r="H32" s="37" t="s">
        <v>50</v>
      </c>
      <c r="I32" s="38">
        <f t="shared" si="3"/>
        <v>4</v>
      </c>
      <c r="J32" s="16"/>
      <c r="K32" s="77">
        <f t="shared" si="7"/>
        <v>199.96</v>
      </c>
      <c r="L32" s="52">
        <f t="shared" si="1"/>
        <v>0.0001545418359</v>
      </c>
      <c r="O32" s="55" t="s">
        <v>50</v>
      </c>
      <c r="P32" s="16"/>
      <c r="Q32" s="76"/>
      <c r="R32" s="56">
        <v>0.0</v>
      </c>
      <c r="S32" s="56">
        <v>0.0</v>
      </c>
      <c r="T32" s="56">
        <v>0.0</v>
      </c>
      <c r="U32" s="56">
        <v>0.0</v>
      </c>
      <c r="V32" s="56">
        <v>0.0</v>
      </c>
      <c r="W32" s="56">
        <v>0.0</v>
      </c>
      <c r="X32" s="59">
        <v>4.0</v>
      </c>
      <c r="Y32" s="47">
        <f t="shared" si="2"/>
        <v>4</v>
      </c>
    </row>
    <row r="33" ht="18.0" customHeight="1">
      <c r="B33" s="5"/>
      <c r="C33" s="5"/>
      <c r="D33" s="32"/>
      <c r="E33" s="34"/>
      <c r="F33" s="5"/>
      <c r="G33" s="9"/>
      <c r="H33" s="37" t="s">
        <v>51</v>
      </c>
      <c r="I33" s="38">
        <f t="shared" si="3"/>
        <v>74</v>
      </c>
      <c r="J33" s="16"/>
      <c r="K33" s="78">
        <f>197.99*I33</f>
        <v>14651.26</v>
      </c>
      <c r="L33" s="52">
        <f t="shared" si="1"/>
        <v>0.01132342778</v>
      </c>
      <c r="N33" s="75" t="s">
        <v>52</v>
      </c>
      <c r="O33" s="55" t="s">
        <v>51</v>
      </c>
      <c r="P33" s="16"/>
      <c r="Q33" s="56">
        <v>34.0</v>
      </c>
      <c r="R33" s="56">
        <v>0.0</v>
      </c>
      <c r="S33" s="56">
        <v>0.0</v>
      </c>
      <c r="T33" s="56">
        <v>0.0</v>
      </c>
      <c r="U33" s="56">
        <v>40.0</v>
      </c>
      <c r="V33" s="56">
        <v>0.0</v>
      </c>
      <c r="W33" s="56">
        <v>0.0</v>
      </c>
      <c r="X33" s="59">
        <v>0.0</v>
      </c>
      <c r="Y33" s="79">
        <f t="shared" si="2"/>
        <v>74</v>
      </c>
    </row>
    <row r="34" ht="18.0" customHeight="1">
      <c r="B34" s="5"/>
      <c r="C34" s="5"/>
      <c r="D34" s="32"/>
      <c r="E34" s="34"/>
      <c r="F34" s="5"/>
      <c r="G34" s="9"/>
      <c r="H34" s="37" t="s">
        <v>53</v>
      </c>
      <c r="I34" s="38">
        <f t="shared" si="3"/>
        <v>58</v>
      </c>
      <c r="J34" s="16"/>
      <c r="K34" s="78">
        <f>369.99*I34</f>
        <v>21459.42</v>
      </c>
      <c r="L34" s="52">
        <f t="shared" si="1"/>
        <v>0.01658520786</v>
      </c>
      <c r="O34" s="55" t="s">
        <v>53</v>
      </c>
      <c r="P34" s="16"/>
      <c r="Q34" s="56">
        <v>23.0</v>
      </c>
      <c r="R34" s="56">
        <v>0.0</v>
      </c>
      <c r="S34" s="56">
        <v>0.0</v>
      </c>
      <c r="T34" s="56">
        <v>0.0</v>
      </c>
      <c r="U34" s="56">
        <v>0.0</v>
      </c>
      <c r="V34" s="56">
        <v>28.0</v>
      </c>
      <c r="W34" s="56">
        <v>0.0</v>
      </c>
      <c r="X34" s="59">
        <v>7.0</v>
      </c>
      <c r="Y34" s="47">
        <f t="shared" si="2"/>
        <v>58</v>
      </c>
      <c r="AB34" s="32"/>
      <c r="AC34" s="33"/>
    </row>
    <row r="35" ht="18.0" customHeight="1">
      <c r="B35" s="5"/>
      <c r="C35" s="5"/>
      <c r="D35" s="32"/>
      <c r="E35" s="34"/>
      <c r="F35" s="5"/>
      <c r="G35" s="9"/>
      <c r="H35" s="37" t="s">
        <v>54</v>
      </c>
      <c r="I35" s="38">
        <f t="shared" si="3"/>
        <v>54</v>
      </c>
      <c r="J35" s="16"/>
      <c r="K35" s="78">
        <f t="shared" ref="K35:K37" si="8">I35*629.99</f>
        <v>34019.46</v>
      </c>
      <c r="L35" s="52">
        <f t="shared" si="1"/>
        <v>0.0262924075</v>
      </c>
      <c r="O35" s="55" t="s">
        <v>54</v>
      </c>
      <c r="P35" s="16"/>
      <c r="Q35" s="56">
        <v>10.0</v>
      </c>
      <c r="R35" s="56">
        <v>0.0</v>
      </c>
      <c r="S35" s="56">
        <v>0.0</v>
      </c>
      <c r="T35" s="56">
        <v>0.0</v>
      </c>
      <c r="U35" s="56">
        <v>0.0</v>
      </c>
      <c r="V35" s="56">
        <v>41.0</v>
      </c>
      <c r="W35" s="56">
        <v>3.0</v>
      </c>
      <c r="X35" s="59">
        <v>0.0</v>
      </c>
      <c r="Y35" s="47">
        <f t="shared" si="2"/>
        <v>54</v>
      </c>
      <c r="AB35" s="32"/>
      <c r="AC35" s="33"/>
    </row>
    <row r="36" ht="18.0" customHeight="1">
      <c r="B36" s="5"/>
      <c r="C36" s="5"/>
      <c r="D36" s="32"/>
      <c r="E36" s="34"/>
      <c r="F36" s="5"/>
      <c r="G36" s="9"/>
      <c r="H36" s="37" t="s">
        <v>55</v>
      </c>
      <c r="I36" s="38">
        <f t="shared" si="3"/>
        <v>34</v>
      </c>
      <c r="J36" s="16"/>
      <c r="K36" s="78">
        <f t="shared" si="8"/>
        <v>21419.66</v>
      </c>
      <c r="L36" s="52">
        <f t="shared" si="1"/>
        <v>0.01655447879</v>
      </c>
      <c r="O36" s="55" t="s">
        <v>55</v>
      </c>
      <c r="P36" s="16"/>
      <c r="Q36" s="56">
        <v>10.0</v>
      </c>
      <c r="R36" s="56">
        <v>0.0</v>
      </c>
      <c r="S36" s="56">
        <v>0.0</v>
      </c>
      <c r="T36" s="56">
        <v>0.0</v>
      </c>
      <c r="U36" s="56">
        <v>0.0</v>
      </c>
      <c r="V36" s="56">
        <v>17.0</v>
      </c>
      <c r="W36" s="56">
        <v>7.0</v>
      </c>
      <c r="X36" s="59">
        <v>0.0</v>
      </c>
      <c r="Y36" s="47">
        <f t="shared" si="2"/>
        <v>34</v>
      </c>
      <c r="AB36" s="32"/>
      <c r="AC36" s="33"/>
    </row>
    <row r="37" ht="18.0" customHeight="1">
      <c r="B37" s="5"/>
      <c r="C37" s="5"/>
      <c r="D37" s="32"/>
      <c r="E37" s="34"/>
      <c r="F37" s="5"/>
      <c r="G37" s="9"/>
      <c r="H37" s="37" t="s">
        <v>56</v>
      </c>
      <c r="I37" s="38">
        <f t="shared" si="3"/>
        <v>41</v>
      </c>
      <c r="J37" s="16"/>
      <c r="K37" s="78">
        <f t="shared" si="8"/>
        <v>25829.59</v>
      </c>
      <c r="L37" s="52">
        <f t="shared" si="1"/>
        <v>0.01996275384</v>
      </c>
      <c r="O37" s="55" t="s">
        <v>56</v>
      </c>
      <c r="P37" s="16"/>
      <c r="Q37" s="56">
        <v>10.0</v>
      </c>
      <c r="R37" s="56">
        <v>0.0</v>
      </c>
      <c r="S37" s="56">
        <v>0.0</v>
      </c>
      <c r="T37" s="56">
        <v>0.0</v>
      </c>
      <c r="U37" s="56">
        <v>0.0</v>
      </c>
      <c r="V37" s="56">
        <v>30.0</v>
      </c>
      <c r="W37" s="56">
        <v>1.0</v>
      </c>
      <c r="X37" s="59">
        <v>0.0</v>
      </c>
      <c r="Y37" s="47">
        <f t="shared" si="2"/>
        <v>41</v>
      </c>
      <c r="AB37" s="32"/>
      <c r="AC37" s="33"/>
    </row>
    <row r="38" ht="18.75" customHeight="1">
      <c r="B38" s="5"/>
      <c r="C38" s="5"/>
      <c r="D38" s="32"/>
      <c r="E38" s="34"/>
      <c r="F38" s="41" t="s">
        <v>57</v>
      </c>
      <c r="G38" s="41"/>
      <c r="H38" s="37" t="s">
        <v>58</v>
      </c>
      <c r="I38" s="38">
        <f t="shared" si="3"/>
        <v>231</v>
      </c>
      <c r="J38" s="16"/>
      <c r="K38" s="77">
        <f t="shared" ref="K38:K39" si="9">sum(I38*469.99)</f>
        <v>108567.69</v>
      </c>
      <c r="L38" s="52">
        <f t="shared" si="1"/>
        <v>0.08390803224</v>
      </c>
      <c r="O38" s="55" t="s">
        <v>58</v>
      </c>
      <c r="P38" s="16"/>
      <c r="Q38" s="56">
        <v>2.0</v>
      </c>
      <c r="R38" s="56">
        <v>0.0</v>
      </c>
      <c r="S38" s="56">
        <v>0.0</v>
      </c>
      <c r="T38" s="56">
        <v>0.0</v>
      </c>
      <c r="U38" s="56">
        <v>0.0</v>
      </c>
      <c r="V38" s="56">
        <v>0.0</v>
      </c>
      <c r="W38" s="56">
        <v>96.0</v>
      </c>
      <c r="X38" s="59">
        <v>133.0</v>
      </c>
      <c r="Y38" s="47">
        <f t="shared" si="2"/>
        <v>231</v>
      </c>
    </row>
    <row r="39" ht="18.0" customHeight="1">
      <c r="D39" s="32"/>
      <c r="E39" s="34"/>
      <c r="H39" s="29" t="s">
        <v>59</v>
      </c>
      <c r="I39" s="38">
        <f t="shared" si="3"/>
        <v>282</v>
      </c>
      <c r="J39" s="16"/>
      <c r="K39" s="77">
        <f t="shared" si="9"/>
        <v>132537.18</v>
      </c>
      <c r="L39" s="52">
        <f t="shared" si="1"/>
        <v>0.1024331822</v>
      </c>
      <c r="O39" s="80" t="s">
        <v>59</v>
      </c>
      <c r="P39" s="81"/>
      <c r="Q39" s="82">
        <v>6.0</v>
      </c>
      <c r="R39" s="56">
        <v>0.0</v>
      </c>
      <c r="S39" s="56">
        <v>0.0</v>
      </c>
      <c r="T39" s="56">
        <v>0.0</v>
      </c>
      <c r="U39" s="56">
        <v>0.0</v>
      </c>
      <c r="V39" s="56">
        <v>0.0</v>
      </c>
      <c r="W39" s="56">
        <v>0.0</v>
      </c>
      <c r="X39" s="59">
        <v>276.0</v>
      </c>
      <c r="Y39" s="47">
        <f t="shared" si="2"/>
        <v>282</v>
      </c>
      <c r="Z39" s="48">
        <f>SUM(Y9:Y39)</f>
        <v>1732</v>
      </c>
    </row>
    <row r="40" ht="23.25" customHeight="1">
      <c r="D40" s="32"/>
      <c r="E40" s="34"/>
      <c r="H40" s="83" t="s">
        <v>60</v>
      </c>
      <c r="I40" s="84">
        <v>6.0</v>
      </c>
      <c r="J40" s="16"/>
      <c r="K40" s="85">
        <f>113614.74*I40</f>
        <v>681688.44</v>
      </c>
      <c r="L40" s="52">
        <f t="shared" si="1"/>
        <v>0.5268522855</v>
      </c>
      <c r="Z40" s="75"/>
    </row>
    <row r="41" ht="23.25" customHeight="1">
      <c r="D41" s="32"/>
      <c r="E41" s="34"/>
      <c r="H41" s="83" t="s">
        <v>18</v>
      </c>
      <c r="I41" s="86">
        <f>SUM(I9:I40)</f>
        <v>1738</v>
      </c>
      <c r="J41" s="16"/>
      <c r="K41" s="87">
        <f>SUM(K9:K40)</f>
        <v>1293889.12</v>
      </c>
      <c r="L41" s="88"/>
      <c r="Z41" s="75" t="s">
        <v>61</v>
      </c>
    </row>
    <row r="42" ht="18.0" customHeight="1">
      <c r="D42" s="32"/>
      <c r="E42" s="34"/>
      <c r="P42" s="32"/>
      <c r="Z42" s="75">
        <v>1732.0</v>
      </c>
    </row>
    <row r="43" ht="12.0" customHeight="1">
      <c r="D43" s="32"/>
      <c r="E43" s="34"/>
      <c r="P43" s="32"/>
      <c r="Q43" s="75" t="s">
        <v>62</v>
      </c>
      <c r="S43" s="75" t="s">
        <v>63</v>
      </c>
    </row>
    <row r="44" ht="12.0" customHeight="1">
      <c r="D44" s="32"/>
      <c r="E44" s="34"/>
      <c r="O44" s="32"/>
      <c r="P44" s="32"/>
      <c r="Q44" s="42" t="s">
        <v>19</v>
      </c>
      <c r="R44" s="16"/>
      <c r="S44" s="89">
        <v>334.0</v>
      </c>
    </row>
    <row r="45" ht="12.0" customHeight="1">
      <c r="D45" s="32"/>
      <c r="E45" s="34"/>
      <c r="O45" s="32"/>
      <c r="P45" s="32"/>
      <c r="Q45" s="55" t="s">
        <v>59</v>
      </c>
      <c r="R45" s="16"/>
      <c r="S45" s="89">
        <v>282.0</v>
      </c>
    </row>
    <row r="46" ht="12.0" customHeight="1">
      <c r="D46" s="32"/>
      <c r="E46" s="34"/>
      <c r="H46" s="37" t="s">
        <v>19</v>
      </c>
      <c r="I46" s="51">
        <v>334.0</v>
      </c>
      <c r="J46" s="16"/>
      <c r="O46" s="32"/>
      <c r="Q46" s="55" t="s">
        <v>58</v>
      </c>
      <c r="R46" s="16"/>
      <c r="S46" s="89">
        <v>231.0</v>
      </c>
    </row>
    <row r="47" ht="12.0" customHeight="1">
      <c r="D47" s="32"/>
      <c r="E47" s="34"/>
      <c r="H47" s="29" t="s">
        <v>59</v>
      </c>
      <c r="I47" s="51">
        <v>282.0</v>
      </c>
      <c r="J47" s="16"/>
      <c r="O47" s="32"/>
      <c r="Q47" s="55" t="s">
        <v>30</v>
      </c>
      <c r="R47" s="16"/>
      <c r="S47" s="89">
        <v>230.0</v>
      </c>
    </row>
    <row r="48" ht="12.0" customHeight="1">
      <c r="D48" s="32"/>
      <c r="E48" s="34"/>
      <c r="O48" s="32"/>
      <c r="Q48" s="90" t="s">
        <v>23</v>
      </c>
      <c r="R48" s="16"/>
      <c r="S48" s="91">
        <v>211.0</v>
      </c>
    </row>
    <row r="49" ht="12.0" customHeight="1">
      <c r="O49" s="32"/>
      <c r="Q49" s="92" t="s">
        <v>64</v>
      </c>
      <c r="R49" s="16"/>
      <c r="S49" s="91">
        <v>129.0</v>
      </c>
    </row>
    <row r="50" ht="12.0" customHeight="1">
      <c r="O50" s="32"/>
      <c r="Q50" s="55" t="s">
        <v>25</v>
      </c>
      <c r="R50" s="16"/>
      <c r="S50" s="89">
        <v>84.0</v>
      </c>
    </row>
    <row r="51" ht="12.0" customHeight="1">
      <c r="Q51" s="55" t="s">
        <v>51</v>
      </c>
      <c r="R51" s="16"/>
      <c r="S51" s="89">
        <v>74.0</v>
      </c>
    </row>
    <row r="52" ht="12.0" customHeight="1">
      <c r="Q52" s="55" t="s">
        <v>53</v>
      </c>
      <c r="R52" s="16"/>
      <c r="S52" s="89">
        <v>58.0</v>
      </c>
    </row>
    <row r="53" ht="12.0" customHeight="1">
      <c r="Q53" s="55" t="s">
        <v>65</v>
      </c>
      <c r="R53" s="16"/>
      <c r="S53" s="89">
        <v>58.0</v>
      </c>
    </row>
    <row r="54" ht="12.0" customHeight="1">
      <c r="Q54" s="55" t="s">
        <v>27</v>
      </c>
      <c r="R54" s="16"/>
      <c r="S54" s="89">
        <v>28.0</v>
      </c>
    </row>
    <row r="55" ht="12.0" customHeight="1">
      <c r="Q55" s="55" t="s">
        <v>66</v>
      </c>
      <c r="R55" s="16"/>
      <c r="S55" s="89">
        <v>13.0</v>
      </c>
    </row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0"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3:P33"/>
    <mergeCell ref="O34:P34"/>
    <mergeCell ref="O35:P35"/>
    <mergeCell ref="O36:P36"/>
    <mergeCell ref="O37:P37"/>
    <mergeCell ref="Q48:R48"/>
    <mergeCell ref="Q49:R49"/>
    <mergeCell ref="Q50:R50"/>
    <mergeCell ref="Q51:R51"/>
    <mergeCell ref="Q52:R52"/>
    <mergeCell ref="Q53:R53"/>
    <mergeCell ref="Q54:R54"/>
    <mergeCell ref="Q55:R55"/>
    <mergeCell ref="O38:P38"/>
    <mergeCell ref="O39:P39"/>
    <mergeCell ref="Q43:R43"/>
    <mergeCell ref="Q44:R44"/>
    <mergeCell ref="Q45:R45"/>
    <mergeCell ref="Q46:R46"/>
    <mergeCell ref="Q47:R47"/>
    <mergeCell ref="I25:J25"/>
    <mergeCell ref="I26:J26"/>
    <mergeCell ref="I27:J27"/>
    <mergeCell ref="I28:J28"/>
    <mergeCell ref="I29:J29"/>
    <mergeCell ref="I30:J30"/>
    <mergeCell ref="I31:J31"/>
    <mergeCell ref="I39:J39"/>
    <mergeCell ref="I40:J40"/>
    <mergeCell ref="I41:J41"/>
    <mergeCell ref="I46:J46"/>
    <mergeCell ref="I47:J47"/>
    <mergeCell ref="I32:J32"/>
    <mergeCell ref="I33:J33"/>
    <mergeCell ref="I34:J34"/>
    <mergeCell ref="I35:J35"/>
    <mergeCell ref="I36:J36"/>
    <mergeCell ref="I37:J37"/>
    <mergeCell ref="I38:J38"/>
    <mergeCell ref="C9:E9"/>
    <mergeCell ref="C11:E11"/>
    <mergeCell ref="C12:E12"/>
    <mergeCell ref="C13:E13"/>
    <mergeCell ref="C14:E14"/>
    <mergeCell ref="C1:J1"/>
    <mergeCell ref="C2:J2"/>
    <mergeCell ref="D4:E4"/>
    <mergeCell ref="G4:J4"/>
    <mergeCell ref="C6:J6"/>
    <mergeCell ref="C8:F8"/>
    <mergeCell ref="I10:J10"/>
    <mergeCell ref="H8:J8"/>
    <mergeCell ref="I9:J9"/>
    <mergeCell ref="O9:P9"/>
    <mergeCell ref="O11:P11"/>
    <mergeCell ref="O12:P12"/>
    <mergeCell ref="O13:P13"/>
    <mergeCell ref="O14:P14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O31:P31"/>
    <mergeCell ref="O32:P32"/>
    <mergeCell ref="O15:P15"/>
    <mergeCell ref="O16:P16"/>
    <mergeCell ref="O17:P17"/>
    <mergeCell ref="O18:P18"/>
    <mergeCell ref="O19:P19"/>
    <mergeCell ref="O20:P20"/>
    <mergeCell ref="O21:P21"/>
  </mergeCells>
  <printOptions/>
  <pageMargins bottom="0.5" footer="0.0" header="0.0" left="0.5" right="0.5" top="0.5"/>
  <pageSetup orientation="portrait"/>
  <headerFooter>
    <oddFooter>&amp;RRevised 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8.71"/>
    <col customWidth="1" min="3" max="3" width="8.86"/>
    <col customWidth="1" min="4" max="4" width="39.0"/>
    <col customWidth="1" min="5" max="5" width="14.71"/>
    <col customWidth="1" min="6" max="6" width="16.86"/>
    <col customWidth="1" min="7" max="7" width="6.71"/>
    <col customWidth="1" min="8" max="8" width="37.57"/>
    <col customWidth="1" min="9" max="9" width="23.0"/>
    <col customWidth="1" min="10" max="10" width="15.57"/>
    <col customWidth="1" min="11" max="11" width="12.29"/>
    <col customWidth="1" min="12" max="12" width="10.57"/>
    <col customWidth="1" min="13" max="13" width="8.86"/>
    <col customWidth="1" min="14" max="14" width="11.0"/>
    <col customWidth="1" min="15" max="26" width="8.86"/>
  </cols>
  <sheetData>
    <row r="1" ht="57.0" customHeight="1">
      <c r="A1" s="1"/>
      <c r="B1" s="2"/>
      <c r="C1" s="3" t="s">
        <v>67</v>
      </c>
      <c r="D1" s="4"/>
      <c r="E1" s="4"/>
      <c r="F1" s="4"/>
      <c r="G1" s="4"/>
      <c r="H1" s="4"/>
      <c r="I1" s="4"/>
      <c r="J1" s="4"/>
      <c r="K1" s="5"/>
      <c r="L1" s="5"/>
    </row>
    <row r="2" ht="12.0" customHeight="1">
      <c r="A2" s="6"/>
      <c r="B2" s="7"/>
      <c r="C2" s="8" t="s">
        <v>1</v>
      </c>
      <c r="D2" s="4"/>
      <c r="E2" s="4"/>
      <c r="F2" s="4"/>
      <c r="G2" s="4"/>
      <c r="H2" s="4"/>
      <c r="I2" s="4"/>
      <c r="J2" s="4"/>
      <c r="K2" s="9"/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4.5" customHeight="1">
      <c r="A3" s="12"/>
      <c r="B3" s="7"/>
      <c r="C3" s="13"/>
      <c r="D3" s="9"/>
      <c r="E3" s="9"/>
      <c r="F3" s="9"/>
      <c r="G3" s="9"/>
      <c r="H3" s="9"/>
      <c r="I3" s="9"/>
      <c r="J3" s="9"/>
      <c r="K3" s="9"/>
      <c r="L3" s="9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75" customHeight="1">
      <c r="A4" s="12"/>
      <c r="B4" s="7"/>
      <c r="C4" s="14" t="s">
        <v>2</v>
      </c>
      <c r="D4" s="15"/>
      <c r="E4" s="16"/>
      <c r="F4" s="17" t="s">
        <v>3</v>
      </c>
      <c r="G4" s="18"/>
      <c r="H4" s="19"/>
      <c r="I4" s="19"/>
      <c r="J4" s="16"/>
      <c r="K4" s="9"/>
      <c r="L4" s="9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6.0" customHeight="1">
      <c r="A5" s="12"/>
      <c r="B5" s="7"/>
      <c r="C5" s="20"/>
      <c r="D5" s="21"/>
      <c r="E5" s="21"/>
      <c r="F5" s="21"/>
      <c r="G5" s="21"/>
      <c r="H5" s="21"/>
      <c r="I5" s="21"/>
      <c r="J5" s="21"/>
      <c r="K5" s="9"/>
      <c r="L5" s="9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0" customHeight="1">
      <c r="A6" s="22"/>
      <c r="B6" s="7"/>
      <c r="C6" s="23" t="s">
        <v>5</v>
      </c>
      <c r="D6" s="4"/>
      <c r="E6" s="4"/>
      <c r="F6" s="4"/>
      <c r="G6" s="4"/>
      <c r="H6" s="4"/>
      <c r="I6" s="4"/>
      <c r="J6" s="4"/>
      <c r="K6" s="9"/>
      <c r="L6" s="9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6.0" customHeight="1">
      <c r="A7" s="22"/>
      <c r="B7" s="7"/>
      <c r="C7" s="7"/>
      <c r="D7" s="7"/>
      <c r="E7" s="7"/>
      <c r="F7" s="7"/>
      <c r="G7" s="7"/>
      <c r="H7" s="7"/>
      <c r="I7" s="21"/>
      <c r="J7" s="21"/>
      <c r="K7" s="9"/>
      <c r="L7" s="9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8.0" customHeight="1">
      <c r="B8" s="9"/>
      <c r="C8" s="25" t="s">
        <v>6</v>
      </c>
      <c r="D8" s="4"/>
      <c r="E8" s="4"/>
      <c r="F8" s="4"/>
      <c r="G8" s="26"/>
      <c r="H8" s="93" t="s">
        <v>7</v>
      </c>
      <c r="I8" s="4"/>
      <c r="J8" s="4"/>
      <c r="K8" s="26" t="s">
        <v>8</v>
      </c>
      <c r="L8" s="5" t="s">
        <v>9</v>
      </c>
    </row>
    <row r="9" ht="18.0" customHeight="1">
      <c r="B9" s="9"/>
      <c r="C9" s="35" t="s">
        <v>8</v>
      </c>
      <c r="D9" s="19"/>
      <c r="E9" s="16"/>
      <c r="F9" s="36">
        <f>SUM(K9:K26)</f>
        <v>84132.51</v>
      </c>
      <c r="G9" s="26"/>
      <c r="H9" s="94">
        <v>90.0</v>
      </c>
      <c r="I9" s="51" t="s">
        <v>68</v>
      </c>
      <c r="J9" s="16"/>
      <c r="K9" s="39">
        <f>H9*98.99</f>
        <v>8909.1</v>
      </c>
      <c r="L9" s="40"/>
      <c r="N9" s="95"/>
      <c r="O9" s="96"/>
      <c r="P9" s="96"/>
      <c r="Q9" s="97"/>
      <c r="R9" s="96"/>
      <c r="S9" s="98"/>
      <c r="T9" s="96"/>
      <c r="U9" s="99"/>
      <c r="V9" s="100"/>
      <c r="W9" s="100"/>
    </row>
    <row r="10" ht="18.0" customHeight="1">
      <c r="B10" s="9"/>
      <c r="C10" s="35" t="s">
        <v>22</v>
      </c>
      <c r="D10" s="19"/>
      <c r="E10" s="16"/>
      <c r="F10" s="50">
        <v>0.0</v>
      </c>
      <c r="G10" s="26"/>
      <c r="H10" s="94">
        <v>30.0</v>
      </c>
      <c r="I10" s="101" t="s">
        <v>69</v>
      </c>
      <c r="J10" s="16"/>
      <c r="K10" s="39">
        <f>H10*187.99</f>
        <v>5639.7</v>
      </c>
      <c r="L10" s="52"/>
      <c r="O10" s="102"/>
      <c r="P10" s="103"/>
      <c r="Q10" s="16"/>
      <c r="R10" s="104"/>
      <c r="S10" s="98"/>
      <c r="T10" s="96"/>
      <c r="U10" s="105" t="s">
        <v>70</v>
      </c>
      <c r="V10" s="16"/>
      <c r="W10" s="106">
        <v>91.0</v>
      </c>
    </row>
    <row r="11" ht="18.0" customHeight="1">
      <c r="B11" s="26"/>
      <c r="C11" s="60" t="s">
        <v>24</v>
      </c>
      <c r="D11" s="19"/>
      <c r="E11" s="16"/>
      <c r="F11" s="61"/>
      <c r="G11" s="26"/>
      <c r="H11" s="94"/>
      <c r="I11" s="107"/>
      <c r="J11" s="16"/>
      <c r="K11" s="39"/>
      <c r="L11" s="40"/>
      <c r="O11" s="102"/>
      <c r="P11" s="108"/>
      <c r="Q11" s="16"/>
      <c r="R11" s="106"/>
      <c r="S11" s="62"/>
      <c r="T11" s="100"/>
      <c r="U11" s="109" t="s">
        <v>69</v>
      </c>
      <c r="V11" s="16"/>
      <c r="W11" s="106">
        <v>0.0</v>
      </c>
    </row>
    <row r="12" ht="18.0" customHeight="1">
      <c r="B12" s="26"/>
      <c r="C12" s="64" t="s">
        <v>26</v>
      </c>
      <c r="D12" s="19"/>
      <c r="E12" s="16"/>
      <c r="F12" s="50">
        <v>5725.94</v>
      </c>
      <c r="G12" s="26"/>
      <c r="H12" s="94">
        <v>31.0</v>
      </c>
      <c r="I12" s="101" t="s">
        <v>71</v>
      </c>
      <c r="J12" s="16"/>
      <c r="K12" s="39">
        <f t="shared" ref="K12:K14" si="1">H12*187.99</f>
        <v>5827.69</v>
      </c>
      <c r="L12" s="40"/>
      <c r="N12" s="95"/>
      <c r="O12" s="102"/>
      <c r="P12" s="110"/>
      <c r="Q12" s="16"/>
      <c r="R12" s="106"/>
      <c r="S12" s="62"/>
      <c r="T12" s="100"/>
      <c r="U12" s="111" t="s">
        <v>72</v>
      </c>
      <c r="V12" s="16"/>
      <c r="W12" s="106">
        <v>2.0</v>
      </c>
    </row>
    <row r="13" ht="18.0" customHeight="1">
      <c r="B13" s="9"/>
      <c r="C13" s="66" t="s">
        <v>28</v>
      </c>
      <c r="D13" s="67"/>
      <c r="E13" s="67"/>
      <c r="F13" s="68">
        <f>SUM(F9:F12)</f>
        <v>89858.45</v>
      </c>
      <c r="G13" s="26"/>
      <c r="H13" s="94">
        <v>9.0</v>
      </c>
      <c r="I13" s="101" t="s">
        <v>73</v>
      </c>
      <c r="J13" s="16"/>
      <c r="K13" s="39">
        <f t="shared" si="1"/>
        <v>1691.91</v>
      </c>
      <c r="L13" s="52"/>
      <c r="N13" s="95"/>
      <c r="O13" s="102"/>
      <c r="P13" s="108"/>
      <c r="Q13" s="16"/>
      <c r="R13" s="104"/>
      <c r="S13" s="112"/>
      <c r="T13" s="96"/>
      <c r="U13" s="109" t="s">
        <v>71</v>
      </c>
      <c r="V13" s="16"/>
      <c r="W13" s="106">
        <v>28.0</v>
      </c>
    </row>
    <row r="14" ht="18.0" customHeight="1">
      <c r="B14" s="9"/>
      <c r="C14" s="9"/>
      <c r="D14" s="9"/>
      <c r="E14" s="9"/>
      <c r="F14" s="5"/>
      <c r="G14" s="9"/>
      <c r="H14" s="94">
        <v>11.0</v>
      </c>
      <c r="I14" s="101" t="s">
        <v>74</v>
      </c>
      <c r="J14" s="16"/>
      <c r="K14" s="39">
        <f t="shared" si="1"/>
        <v>2067.89</v>
      </c>
      <c r="L14" s="52"/>
      <c r="N14" s="113"/>
      <c r="O14" s="102"/>
      <c r="P14" s="108"/>
      <c r="Q14" s="16"/>
      <c r="R14" s="114"/>
      <c r="S14" s="98"/>
      <c r="T14" s="102"/>
      <c r="U14" s="109" t="s">
        <v>73</v>
      </c>
      <c r="V14" s="16"/>
      <c r="W14" s="106">
        <v>0.0</v>
      </c>
    </row>
    <row r="15" ht="18.0" customHeight="1">
      <c r="B15" s="9"/>
      <c r="C15" s="9"/>
      <c r="D15" s="9"/>
      <c r="E15" s="9"/>
      <c r="F15" s="5"/>
      <c r="G15" s="26"/>
      <c r="H15" s="94">
        <v>6.0</v>
      </c>
      <c r="I15" s="107" t="s">
        <v>75</v>
      </c>
      <c r="J15" s="16"/>
      <c r="K15" s="39">
        <f>H15*469.99</f>
        <v>2819.94</v>
      </c>
      <c r="L15" s="52"/>
      <c r="M15" s="71"/>
      <c r="O15" s="102"/>
      <c r="P15" s="115"/>
      <c r="Q15" s="115"/>
      <c r="R15" s="114"/>
      <c r="S15" s="98"/>
      <c r="T15" s="102"/>
      <c r="U15" s="116"/>
      <c r="V15" s="116"/>
      <c r="W15" s="106"/>
    </row>
    <row r="16" ht="18.0" customHeight="1">
      <c r="B16" s="9"/>
      <c r="C16" s="9"/>
      <c r="D16" s="9"/>
      <c r="E16" s="9"/>
      <c r="F16" s="5"/>
      <c r="G16" s="26"/>
      <c r="H16" s="94">
        <v>6.0</v>
      </c>
      <c r="I16" s="101" t="s">
        <v>76</v>
      </c>
      <c r="J16" s="16"/>
      <c r="K16" s="39">
        <f t="shared" ref="K16:K18" si="2">H16*187.99</f>
        <v>1127.94</v>
      </c>
      <c r="L16" s="52"/>
      <c r="M16" s="71"/>
      <c r="O16" s="102"/>
      <c r="P16" s="108"/>
      <c r="Q16" s="16"/>
      <c r="R16" s="114"/>
      <c r="S16" s="98"/>
      <c r="T16" s="102"/>
      <c r="U16" s="109" t="s">
        <v>74</v>
      </c>
      <c r="V16" s="16"/>
      <c r="W16" s="106">
        <v>0.0</v>
      </c>
    </row>
    <row r="17" ht="18.0" customHeight="1">
      <c r="B17" s="9"/>
      <c r="C17" s="9"/>
      <c r="D17" s="9"/>
      <c r="E17" s="9"/>
      <c r="F17" s="5"/>
      <c r="G17" s="9"/>
      <c r="H17" s="94">
        <v>9.0</v>
      </c>
      <c r="I17" s="101" t="s">
        <v>77</v>
      </c>
      <c r="J17" s="16"/>
      <c r="K17" s="39">
        <f t="shared" si="2"/>
        <v>1691.91</v>
      </c>
      <c r="L17" s="52"/>
      <c r="M17" s="71"/>
      <c r="O17" s="100"/>
      <c r="P17" s="117"/>
      <c r="Q17" s="16"/>
      <c r="R17" s="114"/>
      <c r="S17" s="118"/>
      <c r="T17" s="102"/>
      <c r="U17" s="109" t="s">
        <v>76</v>
      </c>
      <c r="V17" s="16"/>
      <c r="W17" s="106">
        <v>0.0</v>
      </c>
    </row>
    <row r="18" ht="18.0" customHeight="1">
      <c r="B18" s="9"/>
      <c r="C18" s="9"/>
      <c r="D18" s="9"/>
      <c r="E18" s="9"/>
      <c r="F18" s="5"/>
      <c r="G18" s="9"/>
      <c r="H18" s="94">
        <v>23.0</v>
      </c>
      <c r="I18" s="101" t="s">
        <v>78</v>
      </c>
      <c r="J18" s="16"/>
      <c r="K18" s="39">
        <f t="shared" si="2"/>
        <v>4323.77</v>
      </c>
      <c r="L18" s="40"/>
      <c r="O18" s="100"/>
      <c r="P18" s="117"/>
      <c r="Q18" s="16"/>
      <c r="R18" s="106"/>
      <c r="T18" s="100"/>
      <c r="U18" s="117" t="s">
        <v>77</v>
      </c>
      <c r="V18" s="16"/>
      <c r="W18" s="106">
        <v>0.0</v>
      </c>
    </row>
    <row r="19" ht="18.0" customHeight="1">
      <c r="B19" s="9"/>
      <c r="C19" s="9"/>
      <c r="D19" s="9"/>
      <c r="E19" s="9"/>
      <c r="F19" s="5"/>
      <c r="G19" s="26"/>
      <c r="H19" s="94">
        <v>34.0</v>
      </c>
      <c r="I19" s="101" t="s">
        <v>79</v>
      </c>
      <c r="J19" s="16"/>
      <c r="K19" s="39">
        <f>H19*198.99</f>
        <v>6765.66</v>
      </c>
      <c r="L19" s="40"/>
      <c r="N19" s="95"/>
      <c r="O19" s="96"/>
      <c r="P19" s="119"/>
      <c r="Q19" s="16"/>
      <c r="R19" s="106"/>
      <c r="T19" s="100"/>
      <c r="U19" s="117" t="s">
        <v>78</v>
      </c>
      <c r="V19" s="16"/>
      <c r="W19" s="106">
        <v>23.0</v>
      </c>
    </row>
    <row r="20" ht="18.0" customHeight="1">
      <c r="B20" s="9"/>
      <c r="C20" s="9"/>
      <c r="D20" s="9"/>
      <c r="E20" s="9"/>
      <c r="F20" s="5"/>
      <c r="G20" s="9"/>
      <c r="H20" s="94">
        <v>16.0</v>
      </c>
      <c r="I20" s="101" t="s">
        <v>80</v>
      </c>
      <c r="J20" s="16"/>
      <c r="K20" s="39">
        <f>H20*459.99</f>
        <v>7359.84</v>
      </c>
      <c r="L20" s="40"/>
      <c r="O20" s="102"/>
      <c r="P20" s="108"/>
      <c r="Q20" s="16"/>
      <c r="R20" s="106"/>
      <c r="T20" s="100"/>
      <c r="U20" s="117" t="s">
        <v>79</v>
      </c>
      <c r="V20" s="16"/>
      <c r="W20" s="120">
        <v>34.0</v>
      </c>
    </row>
    <row r="21" ht="18.0" customHeight="1">
      <c r="B21" s="5"/>
      <c r="C21" s="5"/>
      <c r="D21" s="5"/>
      <c r="E21" s="5"/>
      <c r="F21" s="5"/>
      <c r="G21" s="26"/>
      <c r="H21" s="94">
        <v>17.0</v>
      </c>
      <c r="I21" s="107" t="s">
        <v>81</v>
      </c>
      <c r="J21" s="16"/>
      <c r="K21" s="39">
        <f>H21*289.99</f>
        <v>4929.83</v>
      </c>
      <c r="L21" s="40"/>
      <c r="O21" s="102"/>
      <c r="P21" s="108"/>
      <c r="Q21" s="16"/>
      <c r="R21" s="106"/>
      <c r="T21" s="100"/>
      <c r="U21" s="117" t="s">
        <v>80</v>
      </c>
      <c r="V21" s="16"/>
      <c r="W21" s="120">
        <v>23.0</v>
      </c>
    </row>
    <row r="22" ht="18.0" customHeight="1">
      <c r="B22" s="5"/>
      <c r="C22" s="5"/>
      <c r="D22" s="5"/>
      <c r="E22" s="5"/>
      <c r="F22" s="5"/>
      <c r="G22" s="9"/>
      <c r="H22" s="94">
        <v>6.0</v>
      </c>
      <c r="I22" s="101" t="s">
        <v>82</v>
      </c>
      <c r="J22" s="16"/>
      <c r="K22" s="39">
        <f>H22*249.99</f>
        <v>1499.94</v>
      </c>
      <c r="L22" s="40"/>
      <c r="N22" s="95"/>
      <c r="O22" s="102"/>
      <c r="P22" s="108"/>
      <c r="Q22" s="16"/>
      <c r="R22" s="106"/>
      <c r="T22" s="100"/>
      <c r="U22" s="117" t="s">
        <v>83</v>
      </c>
      <c r="V22" s="16"/>
      <c r="W22" s="106">
        <v>19.0</v>
      </c>
    </row>
    <row r="23" ht="18.0" customHeight="1">
      <c r="B23" s="5"/>
      <c r="C23" s="5"/>
      <c r="D23" s="5"/>
      <c r="E23" s="5"/>
      <c r="F23" s="5"/>
      <c r="G23" s="9"/>
      <c r="H23" s="121">
        <v>30.0</v>
      </c>
      <c r="I23" s="122" t="s">
        <v>84</v>
      </c>
      <c r="J23" s="16"/>
      <c r="K23" s="77">
        <f>H23*629.99</f>
        <v>18899.7</v>
      </c>
      <c r="L23" s="40"/>
      <c r="N23" s="95"/>
      <c r="O23" s="102"/>
      <c r="P23" s="108"/>
      <c r="Q23" s="16"/>
      <c r="R23" s="106"/>
      <c r="T23" s="100"/>
      <c r="U23" s="117" t="s">
        <v>82</v>
      </c>
      <c r="V23" s="16"/>
      <c r="W23" s="106">
        <v>6.0</v>
      </c>
    </row>
    <row r="24" ht="18.0" customHeight="1">
      <c r="B24" s="5"/>
      <c r="C24" s="5"/>
      <c r="D24" s="5"/>
      <c r="E24" s="5"/>
      <c r="F24" s="5"/>
      <c r="G24" s="9"/>
      <c r="H24" s="121">
        <v>23.0</v>
      </c>
      <c r="I24" s="122" t="s">
        <v>53</v>
      </c>
      <c r="J24" s="16"/>
      <c r="K24" s="77">
        <f>H24*369.99</f>
        <v>8509.77</v>
      </c>
      <c r="L24" s="40"/>
      <c r="N24" s="113"/>
      <c r="O24" s="102"/>
      <c r="P24" s="123"/>
      <c r="Q24" s="16"/>
      <c r="R24" s="106"/>
      <c r="T24" s="100"/>
      <c r="U24" s="124" t="s">
        <v>84</v>
      </c>
      <c r="V24" s="16"/>
      <c r="W24" s="106">
        <v>28.0</v>
      </c>
    </row>
    <row r="25" ht="18.0" customHeight="1">
      <c r="B25" s="5"/>
      <c r="C25" s="5"/>
      <c r="D25" s="5"/>
      <c r="E25" s="5"/>
      <c r="F25" s="5"/>
      <c r="G25" s="9"/>
      <c r="H25" s="121">
        <v>6.0</v>
      </c>
      <c r="I25" s="122" t="s">
        <v>85</v>
      </c>
      <c r="J25" s="16"/>
      <c r="K25" s="77">
        <f>H25*187.99</f>
        <v>1127.94</v>
      </c>
      <c r="L25" s="52"/>
      <c r="T25" s="100"/>
      <c r="U25" s="124" t="s">
        <v>86</v>
      </c>
      <c r="V25" s="16"/>
      <c r="W25" s="106">
        <v>0.0</v>
      </c>
    </row>
    <row r="26" ht="18.0" customHeight="1">
      <c r="B26" s="5"/>
      <c r="C26" s="5"/>
      <c r="D26" s="32"/>
      <c r="E26" s="125"/>
      <c r="F26" s="5"/>
      <c r="G26" s="9"/>
      <c r="H26" s="121">
        <v>2.0</v>
      </c>
      <c r="I26" s="122" t="s">
        <v>87</v>
      </c>
      <c r="J26" s="16"/>
      <c r="K26" s="77">
        <f>H26*469.99</f>
        <v>939.98</v>
      </c>
      <c r="L26" s="40"/>
      <c r="T26" s="100"/>
      <c r="U26" s="124" t="s">
        <v>88</v>
      </c>
      <c r="V26" s="16"/>
      <c r="W26" s="106">
        <v>0.0</v>
      </c>
    </row>
    <row r="27" ht="31.5" customHeight="1">
      <c r="B27" s="5"/>
      <c r="C27" s="5"/>
      <c r="D27" s="32"/>
      <c r="E27" s="125"/>
      <c r="F27" s="5"/>
      <c r="G27" s="41" t="s">
        <v>89</v>
      </c>
      <c r="H27" s="26">
        <f>SUM(H9:H26)</f>
        <v>349</v>
      </c>
      <c r="I27" s="5"/>
      <c r="J27" s="5"/>
      <c r="K27" s="126"/>
      <c r="L27" s="5"/>
    </row>
    <row r="28" ht="18.0" customHeight="1">
      <c r="D28" s="32"/>
      <c r="E28" s="125"/>
    </row>
    <row r="29" ht="329.25" customHeight="1">
      <c r="D29" s="32"/>
      <c r="E29" s="125"/>
    </row>
    <row r="30" ht="18.0" customHeight="1">
      <c r="D30" s="32"/>
      <c r="E30" s="125"/>
    </row>
    <row r="31" ht="12.0" customHeight="1">
      <c r="D31" s="32"/>
      <c r="E31" s="125"/>
    </row>
    <row r="32" ht="12.0" customHeight="1">
      <c r="D32" s="32"/>
      <c r="E32" s="125"/>
    </row>
    <row r="33" ht="12.0" customHeight="1">
      <c r="D33" s="32"/>
      <c r="E33" s="125"/>
    </row>
    <row r="34" ht="12.0" customHeight="1">
      <c r="D34" s="32"/>
      <c r="E34" s="125"/>
    </row>
    <row r="35" ht="12.0" customHeight="1">
      <c r="D35" s="32"/>
      <c r="E35" s="125"/>
    </row>
    <row r="36" ht="12.0" customHeight="1">
      <c r="D36" s="32"/>
      <c r="E36" s="125"/>
    </row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61">
    <mergeCell ref="P20:Q20"/>
    <mergeCell ref="P21:Q21"/>
    <mergeCell ref="P17:Q17"/>
    <mergeCell ref="U17:V17"/>
    <mergeCell ref="P18:Q18"/>
    <mergeCell ref="U18:V18"/>
    <mergeCell ref="P19:Q19"/>
    <mergeCell ref="U19:V19"/>
    <mergeCell ref="U20:V20"/>
    <mergeCell ref="U21:V21"/>
    <mergeCell ref="P23:Q23"/>
    <mergeCell ref="P24:Q24"/>
    <mergeCell ref="I19:J19"/>
    <mergeCell ref="I20:J20"/>
    <mergeCell ref="I21:J21"/>
    <mergeCell ref="I22:J22"/>
    <mergeCell ref="P22:Q22"/>
    <mergeCell ref="I23:J23"/>
    <mergeCell ref="I24:J24"/>
    <mergeCell ref="I26:J26"/>
    <mergeCell ref="C10:E10"/>
    <mergeCell ref="I10:J10"/>
    <mergeCell ref="P10:Q10"/>
    <mergeCell ref="U10:V10"/>
    <mergeCell ref="C1:J1"/>
    <mergeCell ref="C2:J2"/>
    <mergeCell ref="D4:E4"/>
    <mergeCell ref="G4:J4"/>
    <mergeCell ref="C6:J6"/>
    <mergeCell ref="C8:F8"/>
    <mergeCell ref="C9:E9"/>
    <mergeCell ref="C11:E11"/>
    <mergeCell ref="I11:J11"/>
    <mergeCell ref="P11:Q11"/>
    <mergeCell ref="U11:V11"/>
    <mergeCell ref="I12:J12"/>
    <mergeCell ref="P12:Q12"/>
    <mergeCell ref="U12:V12"/>
    <mergeCell ref="U14:V14"/>
    <mergeCell ref="U16:V16"/>
    <mergeCell ref="U22:V22"/>
    <mergeCell ref="U23:V23"/>
    <mergeCell ref="U24:V24"/>
    <mergeCell ref="U25:V25"/>
    <mergeCell ref="U26:V26"/>
    <mergeCell ref="C12:E12"/>
    <mergeCell ref="C13:E13"/>
    <mergeCell ref="I13:J13"/>
    <mergeCell ref="P13:Q13"/>
    <mergeCell ref="U13:V13"/>
    <mergeCell ref="P14:Q14"/>
    <mergeCell ref="P16:Q16"/>
    <mergeCell ref="H8:J8"/>
    <mergeCell ref="I9:J9"/>
    <mergeCell ref="I14:J14"/>
    <mergeCell ref="I15:J15"/>
    <mergeCell ref="I16:J16"/>
    <mergeCell ref="I17:J17"/>
    <mergeCell ref="I18:J18"/>
    <mergeCell ref="I25:J25"/>
    <mergeCell ref="O25:P25"/>
  </mergeCells>
  <printOptions/>
  <pageMargins bottom="0.5" footer="0.0" header="0.0" left="0.5" right="0.5" top="0.5"/>
  <pageSetup orientation="portrait"/>
  <headerFooter>
    <oddFooter>&amp;RRevised 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7"/>
      <c r="B1" s="128"/>
      <c r="C1" s="5"/>
      <c r="D1" s="5"/>
      <c r="E1" s="5"/>
      <c r="F1" s="5"/>
      <c r="G1" s="5"/>
      <c r="H1" s="5"/>
      <c r="I1" s="5"/>
      <c r="J1" s="5"/>
      <c r="K1" s="5"/>
    </row>
    <row r="2">
      <c r="A2" s="127"/>
      <c r="B2" s="129" t="s">
        <v>2</v>
      </c>
      <c r="C2" s="130">
        <v>45597.0</v>
      </c>
      <c r="D2" s="16"/>
      <c r="E2" s="131" t="s">
        <v>90</v>
      </c>
      <c r="F2" s="132" t="s">
        <v>91</v>
      </c>
      <c r="G2" s="19"/>
      <c r="H2" s="19"/>
      <c r="I2" s="16"/>
      <c r="J2" s="5"/>
      <c r="K2" s="5"/>
    </row>
    <row r="3">
      <c r="A3" s="127"/>
      <c r="B3" s="133"/>
      <c r="C3" s="134"/>
      <c r="D3" s="134"/>
      <c r="E3" s="135"/>
      <c r="F3" s="134"/>
      <c r="G3" s="134"/>
      <c r="H3" s="134"/>
      <c r="I3" s="136"/>
      <c r="J3" s="137"/>
      <c r="K3" s="5"/>
    </row>
    <row r="4">
      <c r="A4" s="127"/>
      <c r="B4" s="138" t="s">
        <v>5</v>
      </c>
      <c r="C4" s="4"/>
      <c r="D4" s="4"/>
      <c r="E4" s="4"/>
      <c r="F4" s="4"/>
      <c r="G4" s="4"/>
      <c r="H4" s="4"/>
      <c r="I4" s="4"/>
      <c r="J4" s="4"/>
      <c r="K4" s="5"/>
    </row>
    <row r="5">
      <c r="A5" s="127"/>
      <c r="B5" s="127"/>
      <c r="C5" s="127"/>
      <c r="D5" s="127"/>
      <c r="E5" s="139"/>
      <c r="F5" s="127"/>
      <c r="G5" s="127"/>
      <c r="H5" s="134"/>
      <c r="I5" s="136"/>
      <c r="J5" s="140"/>
      <c r="K5" s="5"/>
    </row>
    <row r="6">
      <c r="A6" s="5"/>
      <c r="B6" s="141" t="s">
        <v>6</v>
      </c>
      <c r="C6" s="4"/>
      <c r="D6" s="4"/>
      <c r="E6" s="4"/>
      <c r="F6" s="5"/>
      <c r="G6" s="141" t="s">
        <v>92</v>
      </c>
      <c r="H6" s="4"/>
      <c r="I6" s="4"/>
      <c r="J6" s="4"/>
      <c r="K6" s="5"/>
    </row>
    <row r="7">
      <c r="A7" s="5"/>
      <c r="B7" s="142" t="s">
        <v>8</v>
      </c>
      <c r="C7" s="19"/>
      <c r="D7" s="16"/>
      <c r="E7" s="36">
        <v>43239.06</v>
      </c>
      <c r="F7" s="5"/>
      <c r="G7" s="143" t="s">
        <v>93</v>
      </c>
      <c r="H7" s="144" t="s">
        <v>94</v>
      </c>
      <c r="I7" s="144" t="s">
        <v>8</v>
      </c>
      <c r="J7" s="144" t="s">
        <v>95</v>
      </c>
      <c r="K7" s="5"/>
    </row>
    <row r="8">
      <c r="A8" s="5"/>
      <c r="B8" s="142" t="s">
        <v>96</v>
      </c>
      <c r="C8" s="19"/>
      <c r="D8" s="16"/>
      <c r="E8" s="36">
        <v>3134.9</v>
      </c>
      <c r="F8" s="5"/>
      <c r="G8" s="145" t="s">
        <v>97</v>
      </c>
      <c r="H8" s="146">
        <v>94.0</v>
      </c>
      <c r="I8" s="39">
        <v>489.0</v>
      </c>
      <c r="J8" s="147" t="str">
        <f t="shared" ref="J8:J10" si="1">I8/I25</f>
        <v>#DIV/0!</v>
      </c>
      <c r="K8" s="5"/>
    </row>
    <row r="9">
      <c r="A9" s="5"/>
      <c r="B9" s="148"/>
      <c r="C9" s="19"/>
      <c r="D9" s="16"/>
      <c r="E9" s="149"/>
      <c r="F9" s="5"/>
      <c r="G9" s="150"/>
      <c r="H9" s="146">
        <v>0.0</v>
      </c>
      <c r="I9" s="151"/>
      <c r="J9" s="152" t="str">
        <f t="shared" si="1"/>
        <v>#DIV/0!</v>
      </c>
      <c r="K9" s="5"/>
    </row>
    <row r="10">
      <c r="A10" s="5"/>
      <c r="B10" s="153" t="s">
        <v>28</v>
      </c>
      <c r="C10" s="67"/>
      <c r="D10" s="67"/>
      <c r="E10" s="68">
        <f>SUM(E7:E9)</f>
        <v>46373.96</v>
      </c>
      <c r="F10" s="5"/>
      <c r="G10" s="150"/>
      <c r="H10" s="146">
        <v>0.0</v>
      </c>
      <c r="I10" s="151"/>
      <c r="J10" s="152" t="str">
        <f t="shared" si="1"/>
        <v>#DIV/0!</v>
      </c>
      <c r="K10" s="5"/>
    </row>
    <row r="19">
      <c r="F19" s="154">
        <f>E10+'Mini parent'!I3+OC!E9+Diego!E9+Baker!E9+Berna!E9+YBS!D12</f>
        <v>553110.6615</v>
      </c>
    </row>
  </sheetData>
  <mergeCells count="9">
    <mergeCell ref="B9:D9"/>
    <mergeCell ref="B10:D10"/>
    <mergeCell ref="C2:D2"/>
    <mergeCell ref="F2:I2"/>
    <mergeCell ref="B4:J4"/>
    <mergeCell ref="B6:E6"/>
    <mergeCell ref="G6:J6"/>
    <mergeCell ref="B7:D7"/>
    <mergeCell ref="B8:D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0"/>
  </cols>
  <sheetData>
    <row r="1">
      <c r="A1" s="100" t="s">
        <v>98</v>
      </c>
      <c r="B1" s="100" t="s">
        <v>99</v>
      </c>
      <c r="C1" s="100" t="s">
        <v>100</v>
      </c>
      <c r="D1" s="100" t="s">
        <v>101</v>
      </c>
      <c r="E1" s="100" t="s">
        <v>94</v>
      </c>
      <c r="F1" s="100" t="s">
        <v>102</v>
      </c>
      <c r="G1" s="100" t="s">
        <v>103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106">
        <v>396802.0</v>
      </c>
      <c r="B2" s="100" t="s">
        <v>104</v>
      </c>
      <c r="C2" s="100" t="s">
        <v>105</v>
      </c>
      <c r="D2" s="155">
        <v>459.99</v>
      </c>
      <c r="E2" s="106">
        <v>1.0</v>
      </c>
      <c r="F2" s="100" t="s">
        <v>106</v>
      </c>
      <c r="G2" s="155">
        <v>459.99</v>
      </c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>
      <c r="A3" s="106">
        <v>396800.0</v>
      </c>
      <c r="B3" s="100" t="s">
        <v>104</v>
      </c>
      <c r="C3" s="100" t="s">
        <v>105</v>
      </c>
      <c r="D3" s="155">
        <v>459.99</v>
      </c>
      <c r="E3" s="106">
        <v>1.0</v>
      </c>
      <c r="F3" s="100" t="s">
        <v>106</v>
      </c>
      <c r="G3" s="155">
        <v>459.99</v>
      </c>
      <c r="H3" s="100"/>
      <c r="I3" s="155">
        <f>SUM(G2:G56)</f>
        <v>19708.45</v>
      </c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>
      <c r="A4" s="106">
        <v>396788.0</v>
      </c>
      <c r="B4" s="100" t="s">
        <v>104</v>
      </c>
      <c r="C4" s="100" t="s">
        <v>105</v>
      </c>
      <c r="D4" s="155">
        <v>459.99</v>
      </c>
      <c r="E4" s="106">
        <v>1.0</v>
      </c>
      <c r="F4" s="100" t="s">
        <v>106</v>
      </c>
      <c r="G4" s="155">
        <v>459.99</v>
      </c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>
      <c r="A5" s="106">
        <v>396779.0</v>
      </c>
      <c r="B5" s="100" t="s">
        <v>104</v>
      </c>
      <c r="C5" s="100" t="s">
        <v>105</v>
      </c>
      <c r="D5" s="155">
        <v>459.99</v>
      </c>
      <c r="E5" s="106">
        <v>1.0</v>
      </c>
      <c r="F5" s="100" t="s">
        <v>106</v>
      </c>
      <c r="G5" s="155">
        <v>459.99</v>
      </c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>
      <c r="A6" s="106">
        <v>396777.0</v>
      </c>
      <c r="B6" s="100" t="s">
        <v>104</v>
      </c>
      <c r="C6" s="100" t="s">
        <v>105</v>
      </c>
      <c r="D6" s="155">
        <v>459.99</v>
      </c>
      <c r="E6" s="106">
        <v>1.0</v>
      </c>
      <c r="F6" s="100" t="s">
        <v>106</v>
      </c>
      <c r="G6" s="155">
        <v>459.99</v>
      </c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>
      <c r="A7" s="106">
        <v>396766.0</v>
      </c>
      <c r="B7" s="100" t="s">
        <v>104</v>
      </c>
      <c r="C7" s="100" t="s">
        <v>105</v>
      </c>
      <c r="D7" s="155">
        <v>459.99</v>
      </c>
      <c r="E7" s="106">
        <v>1.0</v>
      </c>
      <c r="F7" s="100" t="s">
        <v>106</v>
      </c>
      <c r="G7" s="155">
        <v>459.99</v>
      </c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>
      <c r="A8" s="106">
        <v>396762.0</v>
      </c>
      <c r="B8" s="100" t="s">
        <v>104</v>
      </c>
      <c r="C8" s="100" t="s">
        <v>105</v>
      </c>
      <c r="D8" s="155">
        <v>459.99</v>
      </c>
      <c r="E8" s="106">
        <v>1.0</v>
      </c>
      <c r="F8" s="100" t="s">
        <v>106</v>
      </c>
      <c r="G8" s="155">
        <v>459.99</v>
      </c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>
      <c r="A9" s="106">
        <v>396756.0</v>
      </c>
      <c r="B9" s="100" t="s">
        <v>104</v>
      </c>
      <c r="C9" s="100" t="s">
        <v>105</v>
      </c>
      <c r="D9" s="155">
        <v>459.99</v>
      </c>
      <c r="E9" s="106">
        <v>1.0</v>
      </c>
      <c r="F9" s="100" t="s">
        <v>106</v>
      </c>
      <c r="G9" s="155">
        <v>459.99</v>
      </c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>
      <c r="A10" s="106">
        <v>396748.0</v>
      </c>
      <c r="B10" s="100" t="s">
        <v>104</v>
      </c>
      <c r="C10" s="100" t="s">
        <v>105</v>
      </c>
      <c r="D10" s="155">
        <v>459.99</v>
      </c>
      <c r="E10" s="106">
        <v>1.0</v>
      </c>
      <c r="F10" s="100" t="s">
        <v>106</v>
      </c>
      <c r="G10" s="155">
        <v>459.99</v>
      </c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>
      <c r="A11" s="106">
        <v>396742.0</v>
      </c>
      <c r="B11" s="100" t="s">
        <v>104</v>
      </c>
      <c r="C11" s="100" t="s">
        <v>105</v>
      </c>
      <c r="D11" s="155">
        <v>459.99</v>
      </c>
      <c r="E11" s="106">
        <v>1.0</v>
      </c>
      <c r="F11" s="100" t="s">
        <v>106</v>
      </c>
      <c r="G11" s="155">
        <v>459.99</v>
      </c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>
      <c r="A12" s="106">
        <v>396738.0</v>
      </c>
      <c r="B12" s="100" t="s">
        <v>104</v>
      </c>
      <c r="C12" s="100" t="s">
        <v>105</v>
      </c>
      <c r="D12" s="155">
        <v>459.99</v>
      </c>
      <c r="E12" s="106">
        <v>1.0</v>
      </c>
      <c r="F12" s="100" t="s">
        <v>106</v>
      </c>
      <c r="G12" s="155">
        <v>459.99</v>
      </c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>
      <c r="A13" s="106">
        <v>396731.0</v>
      </c>
      <c r="B13" s="100" t="s">
        <v>104</v>
      </c>
      <c r="C13" s="100" t="s">
        <v>105</v>
      </c>
      <c r="D13" s="155">
        <v>459.99</v>
      </c>
      <c r="E13" s="106">
        <v>1.0</v>
      </c>
      <c r="F13" s="100" t="s">
        <v>106</v>
      </c>
      <c r="G13" s="155">
        <v>459.99</v>
      </c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>
      <c r="A14" s="106">
        <v>396730.0</v>
      </c>
      <c r="B14" s="100" t="s">
        <v>104</v>
      </c>
      <c r="C14" s="100" t="s">
        <v>105</v>
      </c>
      <c r="D14" s="155">
        <v>459.99</v>
      </c>
      <c r="E14" s="106">
        <v>1.0</v>
      </c>
      <c r="F14" s="100" t="s">
        <v>106</v>
      </c>
      <c r="G14" s="155">
        <v>459.99</v>
      </c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>
      <c r="A15" s="106">
        <v>396729.0</v>
      </c>
      <c r="B15" s="100" t="s">
        <v>104</v>
      </c>
      <c r="C15" s="100" t="s">
        <v>105</v>
      </c>
      <c r="D15" s="155">
        <v>459.99</v>
      </c>
      <c r="E15" s="106">
        <v>1.0</v>
      </c>
      <c r="F15" s="100" t="s">
        <v>106</v>
      </c>
      <c r="G15" s="155">
        <v>459.99</v>
      </c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>
      <c r="A16" s="106">
        <v>396726.0</v>
      </c>
      <c r="B16" s="100" t="s">
        <v>104</v>
      </c>
      <c r="C16" s="100" t="s">
        <v>105</v>
      </c>
      <c r="D16" s="155">
        <v>459.99</v>
      </c>
      <c r="E16" s="106">
        <v>1.0</v>
      </c>
      <c r="F16" s="100" t="s">
        <v>106</v>
      </c>
      <c r="G16" s="155">
        <v>459.99</v>
      </c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>
      <c r="A17" s="106">
        <v>396724.0</v>
      </c>
      <c r="B17" s="100" t="s">
        <v>104</v>
      </c>
      <c r="C17" s="100" t="s">
        <v>105</v>
      </c>
      <c r="D17" s="155">
        <v>459.99</v>
      </c>
      <c r="E17" s="106">
        <v>1.0</v>
      </c>
      <c r="F17" s="100" t="s">
        <v>106</v>
      </c>
      <c r="G17" s="155">
        <v>459.99</v>
      </c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>
      <c r="A18" s="106">
        <v>396716.0</v>
      </c>
      <c r="B18" s="100" t="s">
        <v>104</v>
      </c>
      <c r="C18" s="100" t="s">
        <v>105</v>
      </c>
      <c r="D18" s="155">
        <v>459.99</v>
      </c>
      <c r="E18" s="106">
        <v>1.0</v>
      </c>
      <c r="F18" s="100" t="s">
        <v>106</v>
      </c>
      <c r="G18" s="155">
        <v>459.99</v>
      </c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>
      <c r="A19" s="106">
        <v>396712.0</v>
      </c>
      <c r="B19" s="100" t="s">
        <v>104</v>
      </c>
      <c r="C19" s="100" t="s">
        <v>105</v>
      </c>
      <c r="D19" s="155">
        <v>459.99</v>
      </c>
      <c r="E19" s="106">
        <v>1.0</v>
      </c>
      <c r="F19" s="100" t="s">
        <v>106</v>
      </c>
      <c r="G19" s="155">
        <v>459.99</v>
      </c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106">
        <v>396703.0</v>
      </c>
      <c r="B20" s="100" t="s">
        <v>104</v>
      </c>
      <c r="C20" s="100" t="s">
        <v>105</v>
      </c>
      <c r="D20" s="155">
        <v>459.99</v>
      </c>
      <c r="E20" s="106">
        <v>1.0</v>
      </c>
      <c r="F20" s="100" t="s">
        <v>106</v>
      </c>
      <c r="G20" s="155">
        <v>459.99</v>
      </c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>
      <c r="A21" s="106">
        <v>396683.0</v>
      </c>
      <c r="B21" s="100" t="s">
        <v>104</v>
      </c>
      <c r="C21" s="100" t="s">
        <v>105</v>
      </c>
      <c r="D21" s="155">
        <v>459.99</v>
      </c>
      <c r="E21" s="106">
        <v>1.0</v>
      </c>
      <c r="F21" s="100" t="s">
        <v>106</v>
      </c>
      <c r="G21" s="155">
        <v>459.99</v>
      </c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>
      <c r="A22" s="106">
        <v>396681.0</v>
      </c>
      <c r="B22" s="100" t="s">
        <v>104</v>
      </c>
      <c r="C22" s="100" t="s">
        <v>105</v>
      </c>
      <c r="D22" s="155">
        <v>459.99</v>
      </c>
      <c r="E22" s="106">
        <v>1.0</v>
      </c>
      <c r="F22" s="100" t="s">
        <v>106</v>
      </c>
      <c r="G22" s="155">
        <v>459.99</v>
      </c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>
      <c r="A23" s="106">
        <v>396673.0</v>
      </c>
      <c r="B23" s="100" t="s">
        <v>104</v>
      </c>
      <c r="C23" s="100" t="s">
        <v>105</v>
      </c>
      <c r="D23" s="155">
        <v>459.99</v>
      </c>
      <c r="E23" s="106">
        <v>1.0</v>
      </c>
      <c r="F23" s="100" t="s">
        <v>106</v>
      </c>
      <c r="G23" s="155">
        <v>459.99</v>
      </c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>
      <c r="A24" s="106">
        <v>396667.0</v>
      </c>
      <c r="B24" s="100" t="s">
        <v>104</v>
      </c>
      <c r="C24" s="100" t="s">
        <v>105</v>
      </c>
      <c r="D24" s="155">
        <v>459.99</v>
      </c>
      <c r="E24" s="106">
        <v>1.0</v>
      </c>
      <c r="F24" s="100" t="s">
        <v>106</v>
      </c>
      <c r="G24" s="155">
        <v>459.99</v>
      </c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>
      <c r="A25" s="106">
        <v>396665.0</v>
      </c>
      <c r="B25" s="100" t="s">
        <v>104</v>
      </c>
      <c r="C25" s="100" t="s">
        <v>105</v>
      </c>
      <c r="D25" s="155">
        <v>459.99</v>
      </c>
      <c r="E25" s="106">
        <v>1.0</v>
      </c>
      <c r="F25" s="100" t="s">
        <v>106</v>
      </c>
      <c r="G25" s="155">
        <v>459.99</v>
      </c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>
      <c r="A26" s="106">
        <v>396660.0</v>
      </c>
      <c r="B26" s="100" t="s">
        <v>104</v>
      </c>
      <c r="C26" s="100" t="s">
        <v>105</v>
      </c>
      <c r="D26" s="155">
        <v>459.99</v>
      </c>
      <c r="E26" s="106">
        <v>1.0</v>
      </c>
      <c r="F26" s="100" t="s">
        <v>106</v>
      </c>
      <c r="G26" s="155">
        <v>459.99</v>
      </c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>
      <c r="A27" s="106">
        <v>396659.0</v>
      </c>
      <c r="B27" s="100" t="s">
        <v>104</v>
      </c>
      <c r="C27" s="100" t="s">
        <v>105</v>
      </c>
      <c r="D27" s="155">
        <v>459.99</v>
      </c>
      <c r="E27" s="106">
        <v>1.0</v>
      </c>
      <c r="F27" s="100" t="s">
        <v>106</v>
      </c>
      <c r="G27" s="155">
        <v>459.99</v>
      </c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>
      <c r="A28" s="106">
        <v>396654.0</v>
      </c>
      <c r="B28" s="100" t="s">
        <v>104</v>
      </c>
      <c r="C28" s="100" t="s">
        <v>105</v>
      </c>
      <c r="D28" s="155">
        <v>459.99</v>
      </c>
      <c r="E28" s="106">
        <v>1.0</v>
      </c>
      <c r="F28" s="100" t="s">
        <v>106</v>
      </c>
      <c r="G28" s="155">
        <v>459.99</v>
      </c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>
      <c r="A29" s="106">
        <v>396652.0</v>
      </c>
      <c r="B29" s="100" t="s">
        <v>104</v>
      </c>
      <c r="C29" s="100" t="s">
        <v>105</v>
      </c>
      <c r="D29" s="155">
        <v>459.99</v>
      </c>
      <c r="E29" s="106">
        <v>1.0</v>
      </c>
      <c r="F29" s="100" t="s">
        <v>106</v>
      </c>
      <c r="G29" s="155">
        <v>459.99</v>
      </c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>
      <c r="A30" s="106">
        <v>396644.0</v>
      </c>
      <c r="B30" s="100" t="s">
        <v>104</v>
      </c>
      <c r="C30" s="100" t="s">
        <v>105</v>
      </c>
      <c r="D30" s="155">
        <v>459.99</v>
      </c>
      <c r="E30" s="106">
        <v>1.0</v>
      </c>
      <c r="F30" s="100" t="s">
        <v>106</v>
      </c>
      <c r="G30" s="155">
        <v>459.99</v>
      </c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>
      <c r="A31" s="106">
        <v>396643.0</v>
      </c>
      <c r="B31" s="100" t="s">
        <v>104</v>
      </c>
      <c r="C31" s="100" t="s">
        <v>105</v>
      </c>
      <c r="D31" s="155">
        <v>459.99</v>
      </c>
      <c r="E31" s="106">
        <v>1.0</v>
      </c>
      <c r="F31" s="100" t="s">
        <v>106</v>
      </c>
      <c r="G31" s="155">
        <v>459.99</v>
      </c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>
      <c r="A32" s="106">
        <v>396638.0</v>
      </c>
      <c r="B32" s="100" t="s">
        <v>104</v>
      </c>
      <c r="C32" s="100" t="s">
        <v>105</v>
      </c>
      <c r="D32" s="155">
        <v>459.99</v>
      </c>
      <c r="E32" s="106">
        <v>1.0</v>
      </c>
      <c r="F32" s="100" t="s">
        <v>106</v>
      </c>
      <c r="G32" s="155">
        <v>459.99</v>
      </c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>
      <c r="A33" s="106">
        <v>396627.0</v>
      </c>
      <c r="B33" s="100" t="s">
        <v>104</v>
      </c>
      <c r="C33" s="100" t="s">
        <v>105</v>
      </c>
      <c r="D33" s="155">
        <v>459.99</v>
      </c>
      <c r="E33" s="106">
        <v>1.0</v>
      </c>
      <c r="F33" s="100" t="s">
        <v>106</v>
      </c>
      <c r="G33" s="155">
        <v>459.99</v>
      </c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>
      <c r="A34" s="106">
        <v>396611.0</v>
      </c>
      <c r="B34" s="100" t="s">
        <v>104</v>
      </c>
      <c r="C34" s="100" t="s">
        <v>105</v>
      </c>
      <c r="D34" s="155">
        <v>459.99</v>
      </c>
      <c r="E34" s="106">
        <v>1.0</v>
      </c>
      <c r="F34" s="100" t="s">
        <v>106</v>
      </c>
      <c r="G34" s="155">
        <v>459.99</v>
      </c>
      <c r="H34" s="100"/>
      <c r="I34" s="156">
        <v>11.0</v>
      </c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>
      <c r="A35" s="106">
        <v>396608.0</v>
      </c>
      <c r="B35" s="100" t="s">
        <v>104</v>
      </c>
      <c r="C35" s="100" t="s">
        <v>105</v>
      </c>
      <c r="D35" s="155">
        <v>459.99</v>
      </c>
      <c r="E35" s="106">
        <v>1.0</v>
      </c>
      <c r="F35" s="100" t="s">
        <v>106</v>
      </c>
      <c r="G35" s="155">
        <v>459.99</v>
      </c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>
      <c r="A36" s="106">
        <v>396597.0</v>
      </c>
      <c r="B36" s="100" t="s">
        <v>104</v>
      </c>
      <c r="C36" s="100" t="s">
        <v>105</v>
      </c>
      <c r="D36" s="155">
        <v>459.99</v>
      </c>
      <c r="E36" s="106">
        <v>1.0</v>
      </c>
      <c r="F36" s="100" t="s">
        <v>106</v>
      </c>
      <c r="G36" s="155">
        <v>459.99</v>
      </c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>
      <c r="A37" s="106">
        <v>396782.0</v>
      </c>
      <c r="B37" s="156" t="s">
        <v>107</v>
      </c>
      <c r="C37" s="100" t="s">
        <v>108</v>
      </c>
      <c r="D37" s="155">
        <v>98.99</v>
      </c>
      <c r="E37" s="106">
        <v>1.0</v>
      </c>
      <c r="F37" s="100" t="s">
        <v>106</v>
      </c>
      <c r="G37" s="155">
        <v>98.99</v>
      </c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>
      <c r="A38" s="106">
        <v>396775.0</v>
      </c>
      <c r="B38" s="100" t="s">
        <v>109</v>
      </c>
      <c r="C38" s="100" t="s">
        <v>108</v>
      </c>
      <c r="D38" s="155">
        <v>98.99</v>
      </c>
      <c r="E38" s="106">
        <v>1.0</v>
      </c>
      <c r="F38" s="100" t="s">
        <v>106</v>
      </c>
      <c r="G38" s="155">
        <v>98.99</v>
      </c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>
      <c r="A39" s="106">
        <v>396752.0</v>
      </c>
      <c r="B39" s="100" t="s">
        <v>109</v>
      </c>
      <c r="C39" s="100" t="s">
        <v>108</v>
      </c>
      <c r="D39" s="155">
        <v>98.99</v>
      </c>
      <c r="E39" s="106">
        <v>1.0</v>
      </c>
      <c r="F39" s="100" t="s">
        <v>106</v>
      </c>
      <c r="G39" s="155">
        <v>98.99</v>
      </c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>
      <c r="A40" s="106">
        <v>396752.0</v>
      </c>
      <c r="B40" s="100" t="s">
        <v>109</v>
      </c>
      <c r="C40" s="100" t="s">
        <v>108</v>
      </c>
      <c r="D40" s="155">
        <v>98.99</v>
      </c>
      <c r="E40" s="106">
        <v>1.0</v>
      </c>
      <c r="F40" s="100" t="s">
        <v>106</v>
      </c>
      <c r="G40" s="155">
        <v>98.99</v>
      </c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>
      <c r="A41" s="106">
        <v>396752.0</v>
      </c>
      <c r="B41" s="100" t="s">
        <v>109</v>
      </c>
      <c r="C41" s="100" t="s">
        <v>108</v>
      </c>
      <c r="D41" s="155">
        <v>98.99</v>
      </c>
      <c r="E41" s="106">
        <v>1.0</v>
      </c>
      <c r="F41" s="100" t="s">
        <v>106</v>
      </c>
      <c r="G41" s="155">
        <v>98.99</v>
      </c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>
      <c r="A42" s="106">
        <v>396747.0</v>
      </c>
      <c r="B42" s="100" t="s">
        <v>109</v>
      </c>
      <c r="C42" s="100" t="s">
        <v>108</v>
      </c>
      <c r="D42" s="155">
        <v>98.99</v>
      </c>
      <c r="E42" s="106">
        <v>1.0</v>
      </c>
      <c r="F42" s="100" t="s">
        <v>106</v>
      </c>
      <c r="G42" s="155">
        <v>98.99</v>
      </c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>
      <c r="A43" s="106">
        <v>396723.0</v>
      </c>
      <c r="B43" s="100" t="s">
        <v>109</v>
      </c>
      <c r="C43" s="100" t="s">
        <v>108</v>
      </c>
      <c r="D43" s="155">
        <v>98.99</v>
      </c>
      <c r="E43" s="106">
        <v>1.0</v>
      </c>
      <c r="F43" s="100" t="s">
        <v>106</v>
      </c>
      <c r="G43" s="155">
        <v>98.99</v>
      </c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>
      <c r="A44" s="106">
        <v>396717.0</v>
      </c>
      <c r="B44" s="100" t="s">
        <v>109</v>
      </c>
      <c r="C44" s="100" t="s">
        <v>108</v>
      </c>
      <c r="D44" s="155">
        <v>98.99</v>
      </c>
      <c r="E44" s="106">
        <v>1.0</v>
      </c>
      <c r="F44" s="100" t="s">
        <v>106</v>
      </c>
      <c r="G44" s="155">
        <v>98.99</v>
      </c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>
      <c r="A45" s="106">
        <v>396693.0</v>
      </c>
      <c r="B45" s="100" t="s">
        <v>109</v>
      </c>
      <c r="C45" s="100" t="s">
        <v>108</v>
      </c>
      <c r="D45" s="155">
        <v>98.99</v>
      </c>
      <c r="E45" s="106">
        <v>1.0</v>
      </c>
      <c r="F45" s="100" t="s">
        <v>106</v>
      </c>
      <c r="G45" s="155">
        <v>98.99</v>
      </c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>
      <c r="A46" s="106">
        <v>396690.0</v>
      </c>
      <c r="B46" s="100" t="s">
        <v>109</v>
      </c>
      <c r="C46" s="100" t="s">
        <v>108</v>
      </c>
      <c r="D46" s="155">
        <v>98.99</v>
      </c>
      <c r="E46" s="106">
        <v>1.0</v>
      </c>
      <c r="F46" s="100" t="s">
        <v>106</v>
      </c>
      <c r="G46" s="155">
        <v>98.99</v>
      </c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>
      <c r="A47" s="106">
        <v>396618.0</v>
      </c>
      <c r="B47" s="100" t="s">
        <v>109</v>
      </c>
      <c r="C47" s="100" t="s">
        <v>108</v>
      </c>
      <c r="D47" s="155">
        <v>98.99</v>
      </c>
      <c r="E47" s="106">
        <v>1.0</v>
      </c>
      <c r="F47" s="100" t="s">
        <v>106</v>
      </c>
      <c r="G47" s="155">
        <v>98.99</v>
      </c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>
      <c r="A48" s="106">
        <v>396797.0</v>
      </c>
      <c r="B48" s="100" t="s">
        <v>110</v>
      </c>
      <c r="C48" s="100" t="s">
        <v>111</v>
      </c>
      <c r="D48" s="155">
        <v>279.99</v>
      </c>
      <c r="E48" s="106">
        <v>1.0</v>
      </c>
      <c r="F48" s="100" t="s">
        <v>106</v>
      </c>
      <c r="G48" s="155">
        <v>279.99</v>
      </c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>
      <c r="A49" s="106">
        <v>396793.0</v>
      </c>
      <c r="B49" s="100" t="s">
        <v>110</v>
      </c>
      <c r="C49" s="100" t="s">
        <v>111</v>
      </c>
      <c r="D49" s="155">
        <v>279.99</v>
      </c>
      <c r="E49" s="106">
        <v>1.0</v>
      </c>
      <c r="F49" s="100" t="s">
        <v>106</v>
      </c>
      <c r="G49" s="155">
        <v>279.99</v>
      </c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>
      <c r="A50" s="106">
        <v>396750.0</v>
      </c>
      <c r="B50" s="100" t="s">
        <v>110</v>
      </c>
      <c r="C50" s="100" t="s">
        <v>111</v>
      </c>
      <c r="D50" s="155">
        <v>279.99</v>
      </c>
      <c r="E50" s="106">
        <v>1.0</v>
      </c>
      <c r="F50" s="100" t="s">
        <v>106</v>
      </c>
      <c r="G50" s="155">
        <v>279.99</v>
      </c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>
      <c r="A51" s="106">
        <v>396736.0</v>
      </c>
      <c r="B51" s="100" t="s">
        <v>110</v>
      </c>
      <c r="C51" s="100" t="s">
        <v>111</v>
      </c>
      <c r="D51" s="155">
        <v>279.99</v>
      </c>
      <c r="E51" s="106">
        <v>1.0</v>
      </c>
      <c r="F51" s="100" t="s">
        <v>106</v>
      </c>
      <c r="G51" s="155">
        <v>279.99</v>
      </c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>
      <c r="A52" s="106">
        <v>396714.0</v>
      </c>
      <c r="B52" s="100" t="s">
        <v>110</v>
      </c>
      <c r="C52" s="100" t="s">
        <v>111</v>
      </c>
      <c r="D52" s="155">
        <v>279.99</v>
      </c>
      <c r="E52" s="106">
        <v>1.0</v>
      </c>
      <c r="F52" s="100" t="s">
        <v>106</v>
      </c>
      <c r="G52" s="155">
        <v>279.99</v>
      </c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>
      <c r="A53" s="106">
        <v>396693.0</v>
      </c>
      <c r="B53" s="100" t="s">
        <v>110</v>
      </c>
      <c r="C53" s="100" t="s">
        <v>111</v>
      </c>
      <c r="D53" s="155">
        <v>279.99</v>
      </c>
      <c r="E53" s="106">
        <v>1.0</v>
      </c>
      <c r="F53" s="100" t="s">
        <v>106</v>
      </c>
      <c r="G53" s="155">
        <v>279.99</v>
      </c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>
      <c r="A54" s="106">
        <v>396690.0</v>
      </c>
      <c r="B54" s="100" t="s">
        <v>110</v>
      </c>
      <c r="C54" s="100" t="s">
        <v>111</v>
      </c>
      <c r="D54" s="155">
        <v>279.99</v>
      </c>
      <c r="E54" s="106">
        <v>1.0</v>
      </c>
      <c r="F54" s="100" t="s">
        <v>106</v>
      </c>
      <c r="G54" s="155">
        <v>279.99</v>
      </c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>
      <c r="A55" s="106">
        <v>396605.0</v>
      </c>
      <c r="B55" s="100" t="s">
        <v>110</v>
      </c>
      <c r="C55" s="100" t="s">
        <v>111</v>
      </c>
      <c r="D55" s="155">
        <v>279.99</v>
      </c>
      <c r="E55" s="106">
        <v>1.0</v>
      </c>
      <c r="F55" s="100" t="s">
        <v>106</v>
      </c>
      <c r="G55" s="155">
        <v>279.99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>
      <c r="A56" s="106">
        <v>396602.0</v>
      </c>
      <c r="B56" s="100" t="s">
        <v>110</v>
      </c>
      <c r="C56" s="100" t="s">
        <v>111</v>
      </c>
      <c r="D56" s="155">
        <v>279.99</v>
      </c>
      <c r="E56" s="106">
        <v>1.0</v>
      </c>
      <c r="F56" s="100" t="s">
        <v>106</v>
      </c>
      <c r="G56" s="155">
        <v>279.99</v>
      </c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7"/>
      <c r="B1" s="129" t="s">
        <v>2</v>
      </c>
      <c r="C1" s="157">
        <v>45604.0</v>
      </c>
      <c r="D1" s="16"/>
      <c r="E1" s="158" t="s">
        <v>90</v>
      </c>
      <c r="F1" s="132" t="s">
        <v>112</v>
      </c>
      <c r="G1" s="19"/>
      <c r="H1" s="19"/>
      <c r="I1" s="16"/>
      <c r="J1" s="5"/>
      <c r="K1" s="5"/>
      <c r="L1" s="5"/>
      <c r="M1" s="5"/>
      <c r="N1" s="5"/>
      <c r="O1" s="5"/>
      <c r="P1" s="5"/>
      <c r="Q1" s="5"/>
      <c r="R1" s="5"/>
    </row>
    <row r="2">
      <c r="A2" s="127"/>
      <c r="B2" s="133"/>
      <c r="C2" s="134"/>
      <c r="D2" s="134"/>
      <c r="E2" s="134"/>
      <c r="F2" s="134"/>
      <c r="G2" s="134"/>
      <c r="H2" s="134"/>
      <c r="I2" s="134"/>
      <c r="J2" s="5"/>
      <c r="K2" s="5"/>
      <c r="L2" s="5"/>
      <c r="M2" s="5"/>
      <c r="N2" s="5"/>
      <c r="O2" s="5"/>
      <c r="P2" s="5"/>
      <c r="Q2" s="5"/>
      <c r="R2" s="5"/>
    </row>
    <row r="3">
      <c r="A3" s="127"/>
      <c r="B3" s="138" t="s">
        <v>5</v>
      </c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</row>
    <row r="4">
      <c r="A4" s="127"/>
      <c r="B4" s="127"/>
      <c r="C4" s="127"/>
      <c r="D4" s="127"/>
      <c r="E4" s="127"/>
      <c r="F4" s="127"/>
      <c r="G4" s="127"/>
      <c r="H4" s="134"/>
      <c r="I4" s="134"/>
      <c r="J4" s="5"/>
      <c r="K4" s="5"/>
      <c r="L4" s="5"/>
      <c r="M4" s="5"/>
      <c r="N4" s="5"/>
      <c r="O4" s="5"/>
      <c r="P4" s="5"/>
      <c r="Q4" s="5"/>
      <c r="R4" s="5"/>
    </row>
    <row r="5">
      <c r="A5" s="5"/>
      <c r="B5" s="141" t="s">
        <v>6</v>
      </c>
      <c r="C5" s="4"/>
      <c r="D5" s="4"/>
      <c r="E5" s="4"/>
      <c r="F5" s="5"/>
      <c r="G5" s="141" t="s">
        <v>92</v>
      </c>
      <c r="H5" s="4"/>
      <c r="I5" s="4"/>
      <c r="J5" s="4"/>
      <c r="K5" s="5"/>
      <c r="L5" s="5"/>
      <c r="M5" s="5"/>
      <c r="N5" s="5"/>
      <c r="O5" s="5"/>
      <c r="P5" s="5"/>
      <c r="Q5" s="5"/>
      <c r="R5" s="5"/>
    </row>
    <row r="6">
      <c r="A6" s="5"/>
      <c r="B6" s="142" t="s">
        <v>8</v>
      </c>
      <c r="C6" s="19"/>
      <c r="D6" s="16"/>
      <c r="E6" s="36">
        <v>20796.02</v>
      </c>
      <c r="F6" s="5"/>
      <c r="G6" s="143" t="s">
        <v>93</v>
      </c>
      <c r="H6" s="144" t="s">
        <v>94</v>
      </c>
      <c r="I6" s="144" t="s">
        <v>8</v>
      </c>
      <c r="J6" s="144" t="s">
        <v>95</v>
      </c>
      <c r="K6" s="5"/>
      <c r="L6" s="5"/>
      <c r="M6" s="5"/>
      <c r="N6" s="5"/>
      <c r="O6" s="5"/>
      <c r="P6" s="5"/>
      <c r="Q6" s="5"/>
      <c r="R6" s="5"/>
    </row>
    <row r="7">
      <c r="A7" s="5"/>
      <c r="B7" s="142" t="s">
        <v>96</v>
      </c>
      <c r="C7" s="19"/>
      <c r="D7" s="16"/>
      <c r="E7" s="36">
        <f>E6*0.0725</f>
        <v>1507.71145</v>
      </c>
      <c r="F7" s="5"/>
      <c r="G7" s="159" t="s">
        <v>113</v>
      </c>
      <c r="H7" s="146">
        <v>18.0</v>
      </c>
      <c r="I7" s="39">
        <v>8279.82</v>
      </c>
      <c r="J7" s="147">
        <f>I7/I24</f>
        <v>0.3981444526</v>
      </c>
      <c r="K7" s="5"/>
      <c r="L7" s="160" t="s">
        <v>113</v>
      </c>
      <c r="M7" s="5"/>
      <c r="N7" s="161"/>
      <c r="O7" s="5"/>
      <c r="P7" s="161"/>
      <c r="Q7" s="5"/>
      <c r="R7" s="162">
        <v>18.0</v>
      </c>
    </row>
    <row r="8">
      <c r="A8" s="5"/>
      <c r="B8" s="148"/>
      <c r="C8" s="19"/>
      <c r="D8" s="16"/>
      <c r="E8" s="149"/>
      <c r="F8" s="5"/>
      <c r="G8" s="163" t="s">
        <v>110</v>
      </c>
      <c r="H8" s="146">
        <v>7.0</v>
      </c>
      <c r="I8" s="164">
        <v>2085.93</v>
      </c>
      <c r="J8" s="147">
        <f>I8/I24</f>
        <v>0.100304289</v>
      </c>
      <c r="K8" s="5"/>
      <c r="L8" s="160" t="s">
        <v>110</v>
      </c>
      <c r="M8" s="5"/>
      <c r="N8" s="161"/>
      <c r="O8" s="5"/>
      <c r="P8" s="161"/>
      <c r="Q8" s="5"/>
      <c r="R8" s="162">
        <v>7.0</v>
      </c>
    </row>
    <row r="9">
      <c r="A9" s="5"/>
      <c r="B9" s="153" t="s">
        <v>28</v>
      </c>
      <c r="C9" s="67"/>
      <c r="D9" s="67"/>
      <c r="E9" s="68">
        <f>SUM(E6:E8)</f>
        <v>22303.73145</v>
      </c>
      <c r="F9" s="5"/>
      <c r="G9" s="163" t="s">
        <v>114</v>
      </c>
      <c r="H9" s="146">
        <v>37.0</v>
      </c>
      <c r="I9" s="39">
        <v>3662.63</v>
      </c>
      <c r="J9" s="147">
        <f>I9/I24</f>
        <v>0.176121681</v>
      </c>
      <c r="K9" s="5"/>
      <c r="L9" s="160" t="s">
        <v>114</v>
      </c>
      <c r="M9" s="5"/>
      <c r="N9" s="161"/>
      <c r="O9" s="5"/>
      <c r="P9" s="161"/>
      <c r="Q9" s="5"/>
      <c r="R9" s="162">
        <v>37.0</v>
      </c>
    </row>
    <row r="10">
      <c r="A10" s="5"/>
      <c r="B10" s="5"/>
      <c r="C10" s="5"/>
      <c r="D10" s="5"/>
      <c r="E10" s="5"/>
      <c r="F10" s="5"/>
      <c r="G10" s="163" t="s">
        <v>85</v>
      </c>
      <c r="H10" s="146">
        <v>4.0</v>
      </c>
      <c r="I10" s="39">
        <v>751.96</v>
      </c>
      <c r="J10" s="147">
        <f>I10/I24</f>
        <v>0.03615884193</v>
      </c>
      <c r="K10" s="5"/>
      <c r="L10" s="160" t="s">
        <v>85</v>
      </c>
      <c r="M10" s="5"/>
      <c r="N10" s="161"/>
      <c r="O10" s="5"/>
      <c r="P10" s="161"/>
      <c r="Q10" s="5"/>
      <c r="R10" s="162">
        <v>4.0</v>
      </c>
    </row>
    <row r="11">
      <c r="A11" s="5"/>
      <c r="B11" s="5"/>
      <c r="C11" s="5"/>
      <c r="D11" s="5"/>
      <c r="E11" s="5"/>
      <c r="F11" s="5"/>
      <c r="G11" s="163" t="s">
        <v>115</v>
      </c>
      <c r="H11" s="146">
        <v>8.0</v>
      </c>
      <c r="I11" s="39">
        <v>1503.92</v>
      </c>
      <c r="J11" s="147">
        <f>I11/I24</f>
        <v>0.07231768386</v>
      </c>
      <c r="K11" s="5"/>
      <c r="L11" s="160" t="s">
        <v>115</v>
      </c>
      <c r="M11" s="5"/>
      <c r="N11" s="161"/>
      <c r="O11" s="5"/>
      <c r="P11" s="161"/>
      <c r="Q11" s="5"/>
      <c r="R11" s="162">
        <v>8.0</v>
      </c>
    </row>
    <row r="12">
      <c r="A12" s="5"/>
      <c r="B12" s="5"/>
      <c r="C12" s="5"/>
      <c r="D12" s="5"/>
      <c r="E12" s="5"/>
      <c r="F12" s="5"/>
      <c r="G12" s="163" t="s">
        <v>116</v>
      </c>
      <c r="H12" s="146">
        <v>3.0</v>
      </c>
      <c r="I12" s="39">
        <v>563.97</v>
      </c>
      <c r="J12" s="147">
        <f>I12/I24</f>
        <v>0.02711913145</v>
      </c>
      <c r="K12" s="5"/>
      <c r="L12" s="160" t="s">
        <v>116</v>
      </c>
      <c r="M12" s="5"/>
      <c r="N12" s="161"/>
      <c r="O12" s="5"/>
      <c r="P12" s="161"/>
      <c r="Q12" s="5"/>
      <c r="R12" s="162">
        <v>3.0</v>
      </c>
    </row>
    <row r="13">
      <c r="A13" s="5"/>
      <c r="B13" s="5"/>
      <c r="C13" s="5"/>
      <c r="D13" s="5"/>
      <c r="E13" s="5"/>
      <c r="F13" s="5"/>
      <c r="G13" s="163" t="s">
        <v>117</v>
      </c>
      <c r="H13" s="146">
        <v>3.0</v>
      </c>
      <c r="I13" s="39">
        <v>563.97</v>
      </c>
      <c r="J13" s="147">
        <f>I13/I24</f>
        <v>0.02711913145</v>
      </c>
      <c r="K13" s="5"/>
      <c r="L13" s="160" t="s">
        <v>117</v>
      </c>
      <c r="M13" s="5"/>
      <c r="N13" s="161"/>
      <c r="O13" s="5"/>
      <c r="P13" s="161"/>
      <c r="Q13" s="5"/>
      <c r="R13" s="162">
        <v>3.0</v>
      </c>
    </row>
    <row r="14">
      <c r="A14" s="5"/>
      <c r="B14" s="5"/>
      <c r="C14" s="5"/>
      <c r="D14" s="5"/>
      <c r="E14" s="5"/>
      <c r="F14" s="5"/>
      <c r="G14" s="163" t="s">
        <v>118</v>
      </c>
      <c r="H14" s="146">
        <v>5.0</v>
      </c>
      <c r="I14" s="39">
        <v>939.95</v>
      </c>
      <c r="J14" s="147">
        <f>I14/I24</f>
        <v>0.04519855242</v>
      </c>
      <c r="K14" s="5"/>
      <c r="L14" s="160" t="s">
        <v>118</v>
      </c>
      <c r="M14" s="5"/>
      <c r="N14" s="161"/>
      <c r="O14" s="5"/>
      <c r="P14" s="161"/>
      <c r="Q14" s="5"/>
      <c r="R14" s="162">
        <v>5.0</v>
      </c>
    </row>
    <row r="15">
      <c r="A15" s="5"/>
      <c r="B15" s="5"/>
      <c r="C15" s="5"/>
      <c r="D15" s="5"/>
      <c r="E15" s="5"/>
      <c r="F15" s="5"/>
      <c r="G15" s="163" t="s">
        <v>119</v>
      </c>
      <c r="H15" s="146">
        <v>3.0</v>
      </c>
      <c r="I15" s="39">
        <v>563.97</v>
      </c>
      <c r="J15" s="147">
        <f>I15/I24</f>
        <v>0.02711913145</v>
      </c>
      <c r="K15" s="5"/>
      <c r="L15" s="160" t="s">
        <v>119</v>
      </c>
      <c r="M15" s="5"/>
      <c r="N15" s="161"/>
      <c r="O15" s="5"/>
      <c r="P15" s="161"/>
      <c r="Q15" s="5"/>
      <c r="R15" s="162">
        <v>3.0</v>
      </c>
    </row>
    <row r="16">
      <c r="A16" s="5"/>
      <c r="B16" s="5"/>
      <c r="C16" s="5"/>
      <c r="D16" s="5"/>
      <c r="E16" s="5"/>
      <c r="F16" s="5"/>
      <c r="G16" s="163" t="s">
        <v>120</v>
      </c>
      <c r="H16" s="146">
        <v>10.0</v>
      </c>
      <c r="I16" s="39">
        <v>1879.9</v>
      </c>
      <c r="J16" s="147">
        <f>I16/I24</f>
        <v>0.09039710483</v>
      </c>
      <c r="K16" s="5"/>
      <c r="L16" s="160" t="s">
        <v>120</v>
      </c>
      <c r="M16" s="5"/>
      <c r="N16" s="161"/>
      <c r="O16" s="5"/>
      <c r="P16" s="161"/>
      <c r="Q16" s="5"/>
      <c r="R16" s="162">
        <v>10.0</v>
      </c>
    </row>
    <row r="17">
      <c r="A17" s="5"/>
      <c r="B17" s="5"/>
      <c r="C17" s="5"/>
      <c r="D17" s="5"/>
      <c r="E17" s="5"/>
      <c r="F17" s="5"/>
      <c r="G17" s="163" t="s">
        <v>121</v>
      </c>
      <c r="H17" s="146">
        <v>0.0</v>
      </c>
      <c r="I17" s="151"/>
      <c r="J17" s="147">
        <f>I17/I24</f>
        <v>0</v>
      </c>
      <c r="K17" s="5"/>
      <c r="L17" s="5"/>
      <c r="M17" s="5"/>
      <c r="N17" s="5"/>
      <c r="O17" s="5"/>
      <c r="P17" s="5"/>
      <c r="Q17" s="5"/>
      <c r="R17" s="5"/>
    </row>
    <row r="18">
      <c r="A18" s="5"/>
      <c r="B18" s="5"/>
      <c r="C18" s="5"/>
      <c r="D18" s="5"/>
      <c r="E18" s="5"/>
      <c r="F18" s="5"/>
      <c r="G18" s="150"/>
      <c r="H18" s="146">
        <v>0.0</v>
      </c>
      <c r="I18" s="151"/>
      <c r="J18" s="147">
        <f>I18/I24</f>
        <v>0</v>
      </c>
      <c r="K18" s="5"/>
      <c r="L18" s="5"/>
      <c r="M18" s="165"/>
      <c r="N18" s="5"/>
      <c r="O18" s="5"/>
      <c r="P18" s="5"/>
      <c r="Q18" s="5"/>
      <c r="R18" s="5"/>
    </row>
    <row r="19">
      <c r="A19" s="5"/>
      <c r="B19" s="5"/>
      <c r="C19" s="5"/>
      <c r="D19" s="5"/>
      <c r="E19" s="5"/>
      <c r="F19" s="5"/>
      <c r="G19" s="150"/>
      <c r="H19" s="146">
        <v>0.0</v>
      </c>
      <c r="I19" s="151"/>
      <c r="J19" s="147">
        <f>I19/I24</f>
        <v>0</v>
      </c>
      <c r="K19" s="5"/>
      <c r="L19" s="5"/>
      <c r="M19" s="5"/>
      <c r="N19" s="5"/>
      <c r="O19" s="5"/>
      <c r="P19" s="5"/>
      <c r="Q19" s="5"/>
      <c r="R19" s="5"/>
    </row>
    <row r="20">
      <c r="A20" s="5"/>
      <c r="B20" s="5"/>
      <c r="C20" s="5"/>
      <c r="D20" s="5"/>
      <c r="E20" s="5"/>
      <c r="F20" s="5"/>
      <c r="G20" s="150"/>
      <c r="H20" s="146">
        <v>0.0</v>
      </c>
      <c r="I20" s="151"/>
      <c r="J20" s="147">
        <f>I20/I24</f>
        <v>0</v>
      </c>
      <c r="K20" s="5"/>
      <c r="L20" s="5"/>
      <c r="M20" s="5"/>
      <c r="N20" s="5"/>
      <c r="O20" s="5"/>
      <c r="P20" s="5"/>
      <c r="Q20" s="5"/>
      <c r="R20" s="5"/>
    </row>
    <row r="21">
      <c r="A21" s="5"/>
      <c r="B21" s="141" t="s">
        <v>122</v>
      </c>
      <c r="C21" s="4"/>
      <c r="D21" s="4"/>
      <c r="E21" s="4"/>
      <c r="F21" s="5"/>
      <c r="G21" s="150"/>
      <c r="H21" s="146">
        <v>0.0</v>
      </c>
      <c r="I21" s="151"/>
      <c r="J21" s="147">
        <f>I21/I24</f>
        <v>0</v>
      </c>
      <c r="K21" s="5"/>
      <c r="L21" s="5"/>
      <c r="M21" s="5"/>
      <c r="N21" s="5"/>
      <c r="O21" s="5"/>
      <c r="P21" s="5"/>
      <c r="Q21" s="5"/>
      <c r="R21" s="5"/>
    </row>
    <row r="22">
      <c r="A22" s="5"/>
      <c r="B22" s="166" t="s">
        <v>123</v>
      </c>
      <c r="C22" s="19"/>
      <c r="D22" s="16"/>
      <c r="E22" s="36">
        <v>0.0</v>
      </c>
      <c r="F22" s="5"/>
      <c r="G22" s="150"/>
      <c r="H22" s="146">
        <v>0.0</v>
      </c>
      <c r="I22" s="151"/>
      <c r="J22" s="147">
        <f>I22/I24</f>
        <v>0</v>
      </c>
      <c r="K22" s="5"/>
      <c r="L22" s="5"/>
      <c r="M22" s="5"/>
      <c r="N22" s="5"/>
      <c r="O22" s="5"/>
      <c r="P22" s="5"/>
      <c r="Q22" s="5"/>
      <c r="R22" s="5"/>
    </row>
    <row r="23">
      <c r="A23" s="5"/>
      <c r="B23" s="166" t="s">
        <v>123</v>
      </c>
      <c r="C23" s="19"/>
      <c r="D23" s="16"/>
      <c r="E23" s="36">
        <v>0.0</v>
      </c>
      <c r="F23" s="5"/>
      <c r="G23" s="150"/>
      <c r="H23" s="146">
        <v>0.0</v>
      </c>
      <c r="I23" s="151"/>
      <c r="J23" s="147">
        <f>I23/I24</f>
        <v>0</v>
      </c>
      <c r="K23" s="5"/>
      <c r="L23" s="5"/>
      <c r="M23" s="5"/>
      <c r="N23" s="5"/>
      <c r="O23" s="5"/>
      <c r="P23" s="5"/>
      <c r="Q23" s="5"/>
      <c r="R23" s="5"/>
    </row>
    <row r="24">
      <c r="A24" s="5"/>
      <c r="B24" s="166" t="s">
        <v>124</v>
      </c>
      <c r="C24" s="19"/>
      <c r="D24" s="16"/>
      <c r="E24" s="36">
        <v>0.0</v>
      </c>
      <c r="F24" s="5"/>
      <c r="G24" s="143" t="s">
        <v>18</v>
      </c>
      <c r="H24" s="167">
        <f>sum(H7:H23)</f>
        <v>98</v>
      </c>
      <c r="I24" s="168">
        <f t="shared" ref="I24:J24" si="1">SUM(I7:I23)</f>
        <v>20796.02</v>
      </c>
      <c r="J24" s="169">
        <f t="shared" si="1"/>
        <v>1</v>
      </c>
      <c r="K24" s="5"/>
      <c r="L24" s="5"/>
      <c r="M24" s="5"/>
      <c r="N24" s="5"/>
      <c r="O24" s="5"/>
      <c r="P24" s="5"/>
      <c r="Q24" s="5"/>
      <c r="R24" s="5"/>
    </row>
  </sheetData>
  <mergeCells count="13">
    <mergeCell ref="B8:D8"/>
    <mergeCell ref="B9:D9"/>
    <mergeCell ref="B21:E21"/>
    <mergeCell ref="B22:D22"/>
    <mergeCell ref="B23:D23"/>
    <mergeCell ref="B24:D24"/>
    <mergeCell ref="C1:D1"/>
    <mergeCell ref="F1:I1"/>
    <mergeCell ref="B3:J3"/>
    <mergeCell ref="B5:E5"/>
    <mergeCell ref="G5:J5"/>
    <mergeCell ref="B6:D6"/>
    <mergeCell ref="B7:D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7"/>
      <c r="B1" s="129" t="s">
        <v>2</v>
      </c>
      <c r="C1" s="130">
        <v>45639.0</v>
      </c>
      <c r="D1" s="16"/>
      <c r="E1" s="158" t="s">
        <v>90</v>
      </c>
      <c r="F1" s="132" t="s">
        <v>125</v>
      </c>
      <c r="G1" s="19"/>
      <c r="H1" s="19"/>
      <c r="I1" s="16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127"/>
      <c r="B2" s="133"/>
      <c r="C2" s="134"/>
      <c r="D2" s="134"/>
      <c r="E2" s="134"/>
      <c r="F2" s="134"/>
      <c r="G2" s="134"/>
      <c r="H2" s="134"/>
      <c r="I2" s="134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127"/>
      <c r="B3" s="138" t="s">
        <v>5</v>
      </c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127"/>
      <c r="B4" s="127"/>
      <c r="C4" s="127"/>
      <c r="D4" s="127"/>
      <c r="E4" s="127"/>
      <c r="F4" s="127"/>
      <c r="G4" s="127"/>
      <c r="H4" s="134"/>
      <c r="I4" s="134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/>
      <c r="B5" s="141" t="s">
        <v>6</v>
      </c>
      <c r="C5" s="4"/>
      <c r="D5" s="4"/>
      <c r="E5" s="4"/>
      <c r="F5" s="5"/>
      <c r="G5" s="141" t="s">
        <v>92</v>
      </c>
      <c r="H5" s="4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/>
      <c r="B6" s="142" t="s">
        <v>8</v>
      </c>
      <c r="C6" s="19"/>
      <c r="D6" s="16"/>
      <c r="E6" s="36">
        <f>I24</f>
        <v>72053.58</v>
      </c>
      <c r="F6" s="5"/>
      <c r="G6" s="143" t="s">
        <v>93</v>
      </c>
      <c r="H6" s="144" t="s">
        <v>94</v>
      </c>
      <c r="I6" s="144" t="s">
        <v>8</v>
      </c>
      <c r="J6" s="144" t="s">
        <v>95</v>
      </c>
      <c r="K6" s="5"/>
      <c r="L6" s="150"/>
      <c r="M6" s="170"/>
      <c r="N6" s="5"/>
      <c r="O6" s="143" t="s">
        <v>93</v>
      </c>
      <c r="P6" s="144" t="s">
        <v>8</v>
      </c>
      <c r="Q6" s="5"/>
      <c r="R6" s="143" t="s">
        <v>93</v>
      </c>
      <c r="S6" s="5" t="s">
        <v>126</v>
      </c>
      <c r="T6" s="5"/>
    </row>
    <row r="7">
      <c r="A7" s="5"/>
      <c r="B7" s="142" t="s">
        <v>96</v>
      </c>
      <c r="C7" s="19"/>
      <c r="D7" s="16"/>
      <c r="E7" s="36">
        <v>5223.96</v>
      </c>
      <c r="F7" s="5"/>
      <c r="G7" s="171" t="s">
        <v>70</v>
      </c>
      <c r="H7" s="146">
        <v>46.0</v>
      </c>
      <c r="I7" s="39">
        <v>4445.54</v>
      </c>
      <c r="J7" s="147">
        <f>I7/I24</f>
        <v>0.06169769774</v>
      </c>
      <c r="K7" s="5"/>
      <c r="L7" s="170"/>
      <c r="M7" s="172"/>
      <c r="N7" s="5"/>
      <c r="O7" s="173" t="s">
        <v>80</v>
      </c>
      <c r="P7" s="39">
        <v>46458.99</v>
      </c>
      <c r="Q7" s="5"/>
      <c r="R7" s="173" t="s">
        <v>80</v>
      </c>
      <c r="S7" s="174">
        <v>101.0</v>
      </c>
      <c r="T7" s="5"/>
    </row>
    <row r="8">
      <c r="A8" s="5"/>
      <c r="B8" s="148"/>
      <c r="C8" s="19"/>
      <c r="D8" s="16"/>
      <c r="E8" s="149"/>
      <c r="F8" s="5"/>
      <c r="G8" s="173" t="s">
        <v>69</v>
      </c>
      <c r="H8" s="146">
        <v>0.0</v>
      </c>
      <c r="I8" s="39">
        <v>0.0</v>
      </c>
      <c r="J8" s="147">
        <f>I8/I24</f>
        <v>0</v>
      </c>
      <c r="K8" s="5"/>
      <c r="L8" s="150"/>
      <c r="M8" s="172"/>
      <c r="N8" s="5"/>
      <c r="O8" s="173" t="s">
        <v>83</v>
      </c>
      <c r="P8" s="39">
        <v>6655.77</v>
      </c>
      <c r="Q8" s="5"/>
      <c r="R8" s="173" t="s">
        <v>83</v>
      </c>
      <c r="S8" s="5"/>
      <c r="T8" s="5"/>
    </row>
    <row r="9">
      <c r="A9" s="5"/>
      <c r="B9" s="153" t="s">
        <v>28</v>
      </c>
      <c r="C9" s="67"/>
      <c r="D9" s="67"/>
      <c r="E9" s="68">
        <f>SUM(E6:E8)</f>
        <v>77277.54</v>
      </c>
      <c r="F9" s="5"/>
      <c r="G9" s="173" t="s">
        <v>71</v>
      </c>
      <c r="H9" s="146">
        <v>3.0</v>
      </c>
      <c r="I9" s="39">
        <v>563.97</v>
      </c>
      <c r="J9" s="147">
        <f>I9/I24</f>
        <v>0.007827092006</v>
      </c>
      <c r="K9" s="5"/>
      <c r="L9" s="150"/>
      <c r="M9" s="172"/>
      <c r="N9" s="5"/>
      <c r="O9" s="173" t="s">
        <v>79</v>
      </c>
      <c r="P9" s="39">
        <v>7919.6</v>
      </c>
      <c r="Q9" s="5"/>
      <c r="R9" s="173" t="s">
        <v>79</v>
      </c>
      <c r="S9" s="5"/>
      <c r="T9" s="5"/>
    </row>
    <row r="10">
      <c r="A10" s="5"/>
      <c r="B10" s="5"/>
      <c r="C10" s="5"/>
      <c r="D10" s="5"/>
      <c r="E10" s="5"/>
      <c r="F10" s="5"/>
      <c r="G10" s="173" t="s">
        <v>73</v>
      </c>
      <c r="H10" s="146">
        <v>5.0</v>
      </c>
      <c r="I10" s="39">
        <v>939.95</v>
      </c>
      <c r="J10" s="147">
        <f>I10/I24</f>
        <v>0.01304515334</v>
      </c>
      <c r="K10" s="5"/>
      <c r="L10" s="150"/>
      <c r="M10" s="172"/>
      <c r="N10" s="5"/>
      <c r="O10" s="171" t="s">
        <v>70</v>
      </c>
      <c r="P10" s="39">
        <v>4445.54</v>
      </c>
      <c r="Q10" s="5"/>
      <c r="R10" s="171" t="s">
        <v>70</v>
      </c>
      <c r="S10" s="5"/>
      <c r="T10" s="5"/>
    </row>
    <row r="11">
      <c r="A11" s="5"/>
      <c r="B11" s="5"/>
      <c r="C11" s="5"/>
      <c r="D11" s="5"/>
      <c r="E11" s="5"/>
      <c r="F11" s="5"/>
      <c r="G11" s="173" t="s">
        <v>74</v>
      </c>
      <c r="H11" s="146">
        <v>2.0</v>
      </c>
      <c r="I11" s="39">
        <v>375.98</v>
      </c>
      <c r="J11" s="147">
        <f>I11/I24</f>
        <v>0.005218061337</v>
      </c>
      <c r="K11" s="5"/>
      <c r="L11" s="150"/>
      <c r="M11" s="172"/>
      <c r="N11" s="5"/>
      <c r="O11" s="173" t="s">
        <v>82</v>
      </c>
      <c r="P11" s="39">
        <v>2249.91</v>
      </c>
      <c r="Q11" s="5"/>
      <c r="R11" s="173" t="s">
        <v>82</v>
      </c>
      <c r="S11" s="5"/>
      <c r="T11" s="5"/>
    </row>
    <row r="12">
      <c r="A12" s="5"/>
      <c r="B12" s="5"/>
      <c r="C12" s="5"/>
      <c r="D12" s="5"/>
      <c r="E12" s="5"/>
      <c r="F12" s="5"/>
      <c r="G12" s="173" t="s">
        <v>76</v>
      </c>
      <c r="H12" s="146">
        <v>1.0</v>
      </c>
      <c r="I12" s="39">
        <v>187.99</v>
      </c>
      <c r="J12" s="147">
        <f>I12/I24</f>
        <v>0.002609030669</v>
      </c>
      <c r="K12" s="5"/>
      <c r="L12" s="150"/>
      <c r="M12" s="172"/>
      <c r="N12" s="5"/>
      <c r="O12" s="173" t="s">
        <v>77</v>
      </c>
      <c r="P12" s="39">
        <v>1503.92</v>
      </c>
      <c r="Q12" s="5"/>
      <c r="R12" s="173" t="s">
        <v>77</v>
      </c>
      <c r="S12" s="5"/>
      <c r="T12" s="5"/>
    </row>
    <row r="13">
      <c r="A13" s="5"/>
      <c r="B13" s="5"/>
      <c r="C13" s="5"/>
      <c r="D13" s="5"/>
      <c r="E13" s="5"/>
      <c r="F13" s="5"/>
      <c r="G13" s="173" t="s">
        <v>77</v>
      </c>
      <c r="H13" s="146">
        <v>8.0</v>
      </c>
      <c r="I13" s="39">
        <v>1503.92</v>
      </c>
      <c r="J13" s="147">
        <f>I13/I24</f>
        <v>0.02087224535</v>
      </c>
      <c r="K13" s="5"/>
      <c r="L13" s="150"/>
      <c r="M13" s="172"/>
      <c r="N13" s="5"/>
      <c r="O13" s="173" t="s">
        <v>73</v>
      </c>
      <c r="P13" s="39">
        <v>939.95</v>
      </c>
      <c r="Q13" s="5"/>
      <c r="R13" s="173" t="s">
        <v>73</v>
      </c>
      <c r="S13" s="5"/>
      <c r="T13" s="5"/>
    </row>
    <row r="14">
      <c r="A14" s="5"/>
      <c r="B14" s="5"/>
      <c r="C14" s="5"/>
      <c r="D14" s="5"/>
      <c r="E14" s="5"/>
      <c r="F14" s="5"/>
      <c r="G14" s="173" t="s">
        <v>78</v>
      </c>
      <c r="H14" s="146">
        <v>4.0</v>
      </c>
      <c r="I14" s="39">
        <v>751.96</v>
      </c>
      <c r="J14" s="147">
        <f>I14/I24</f>
        <v>0.01043612267</v>
      </c>
      <c r="K14" s="5"/>
      <c r="L14" s="150"/>
      <c r="M14" s="172"/>
      <c r="N14" s="5"/>
      <c r="O14" s="173" t="s">
        <v>78</v>
      </c>
      <c r="P14" s="39">
        <v>751.96</v>
      </c>
      <c r="Q14" s="5"/>
      <c r="R14" s="173" t="s">
        <v>78</v>
      </c>
      <c r="S14" s="5"/>
      <c r="T14" s="5"/>
    </row>
    <row r="15">
      <c r="A15" s="5"/>
      <c r="B15" s="5"/>
      <c r="C15" s="5"/>
      <c r="D15" s="5"/>
      <c r="E15" s="5"/>
      <c r="F15" s="5"/>
      <c r="G15" s="173" t="s">
        <v>79</v>
      </c>
      <c r="H15" s="146">
        <v>40.0</v>
      </c>
      <c r="I15" s="39">
        <v>7919.6</v>
      </c>
      <c r="J15" s="147">
        <f>I15/I24</f>
        <v>0.1099126511</v>
      </c>
      <c r="K15" s="140">
        <f>I15/H15</f>
        <v>197.99</v>
      </c>
      <c r="L15" s="150"/>
      <c r="M15" s="172"/>
      <c r="N15" s="5"/>
      <c r="O15" s="173" t="s">
        <v>71</v>
      </c>
      <c r="P15" s="39">
        <v>563.97</v>
      </c>
      <c r="Q15" s="5"/>
      <c r="R15" s="173" t="s">
        <v>71</v>
      </c>
      <c r="S15" s="5"/>
      <c r="T15" s="5"/>
    </row>
    <row r="16">
      <c r="A16" s="5"/>
      <c r="B16" s="5"/>
      <c r="C16" s="5"/>
      <c r="D16" s="5"/>
      <c r="E16" s="5"/>
      <c r="F16" s="5"/>
      <c r="G16" s="173" t="s">
        <v>80</v>
      </c>
      <c r="H16" s="146">
        <v>101.0</v>
      </c>
      <c r="I16" s="39">
        <v>46458.99</v>
      </c>
      <c r="J16" s="147">
        <f>I16/I24</f>
        <v>0.6447839233</v>
      </c>
      <c r="K16" s="5"/>
      <c r="L16" s="150"/>
      <c r="M16" s="172"/>
      <c r="N16" s="5"/>
      <c r="O16" s="173" t="s">
        <v>74</v>
      </c>
      <c r="P16" s="39">
        <v>375.98</v>
      </c>
      <c r="Q16" s="5"/>
      <c r="R16" s="173" t="s">
        <v>74</v>
      </c>
      <c r="S16" s="5"/>
      <c r="T16" s="5"/>
    </row>
    <row r="17">
      <c r="A17" s="5"/>
      <c r="B17" s="5"/>
      <c r="C17" s="5"/>
      <c r="D17" s="5"/>
      <c r="E17" s="5"/>
      <c r="F17" s="5"/>
      <c r="G17" s="173" t="s">
        <v>83</v>
      </c>
      <c r="H17" s="146">
        <v>22.0</v>
      </c>
      <c r="I17" s="39">
        <v>6655.77</v>
      </c>
      <c r="J17" s="147">
        <f>I17/I24</f>
        <v>0.09237250946</v>
      </c>
      <c r="K17" s="5"/>
      <c r="L17" s="150"/>
      <c r="M17" s="172"/>
      <c r="N17" s="5"/>
      <c r="O17" s="173" t="s">
        <v>76</v>
      </c>
      <c r="P17" s="39">
        <v>187.99</v>
      </c>
      <c r="Q17" s="5"/>
      <c r="R17" s="173" t="s">
        <v>76</v>
      </c>
      <c r="S17" s="5"/>
      <c r="T17" s="5"/>
    </row>
    <row r="18">
      <c r="A18" s="5"/>
      <c r="B18" s="5"/>
      <c r="C18" s="5"/>
      <c r="D18" s="5"/>
      <c r="E18" s="5"/>
      <c r="F18" s="5"/>
      <c r="G18" s="173" t="s">
        <v>82</v>
      </c>
      <c r="H18" s="146">
        <v>9.0</v>
      </c>
      <c r="I18" s="39">
        <v>2249.91</v>
      </c>
      <c r="J18" s="147">
        <f>I18/I24</f>
        <v>0.03122551301</v>
      </c>
      <c r="K18" s="5"/>
      <c r="L18" s="150"/>
      <c r="M18" s="172"/>
      <c r="N18" s="5"/>
      <c r="O18" s="5" t="s">
        <v>69</v>
      </c>
      <c r="P18" s="175">
        <v>0.0</v>
      </c>
      <c r="Q18" s="5"/>
      <c r="R18" s="5" t="s">
        <v>69</v>
      </c>
      <c r="S18" s="5"/>
      <c r="T18" s="5"/>
    </row>
    <row r="19">
      <c r="A19" s="5"/>
      <c r="B19" s="5"/>
      <c r="C19" s="5"/>
      <c r="D19" s="5"/>
      <c r="E19" s="5"/>
      <c r="F19" s="5"/>
      <c r="G19" s="150"/>
      <c r="H19" s="146">
        <v>0.0</v>
      </c>
      <c r="I19" s="151"/>
      <c r="J19" s="147">
        <f>I7/I24</f>
        <v>0.06169769774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/>
      <c r="B20" s="5"/>
      <c r="C20" s="5"/>
      <c r="D20" s="5"/>
      <c r="E20" s="5"/>
      <c r="F20" s="5"/>
      <c r="G20" s="150"/>
      <c r="H20" s="146">
        <v>0.0</v>
      </c>
      <c r="I20" s="151"/>
      <c r="J20" s="147">
        <f>I7/I24</f>
        <v>0.06169769774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/>
      <c r="B21" s="141" t="s">
        <v>122</v>
      </c>
      <c r="C21" s="4"/>
      <c r="D21" s="4"/>
      <c r="E21" s="4"/>
      <c r="F21" s="5"/>
      <c r="G21" s="150"/>
      <c r="H21" s="146">
        <v>0.0</v>
      </c>
      <c r="I21" s="151"/>
      <c r="J21" s="147">
        <f>I7/I24</f>
        <v>0.06169769774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/>
      <c r="B22" s="166" t="s">
        <v>91</v>
      </c>
      <c r="C22" s="19"/>
      <c r="D22" s="16"/>
      <c r="E22" s="36">
        <v>46373.96</v>
      </c>
      <c r="F22" s="5"/>
      <c r="G22" s="150"/>
      <c r="H22" s="146">
        <v>0.0</v>
      </c>
      <c r="I22" s="151"/>
      <c r="J22" s="147">
        <f>I7/I24</f>
        <v>0.06169769774</v>
      </c>
      <c r="K22" s="5"/>
      <c r="L22" s="5"/>
      <c r="M22" s="176">
        <v>58824.13</v>
      </c>
      <c r="N22" s="126">
        <f>I24-M22</f>
        <v>13229.45</v>
      </c>
      <c r="O22" s="5"/>
      <c r="P22" s="5"/>
      <c r="Q22" s="5"/>
      <c r="R22" s="5"/>
      <c r="S22" s="5"/>
      <c r="T22" s="5"/>
    </row>
    <row r="23">
      <c r="A23" s="5"/>
      <c r="B23" s="166" t="s">
        <v>127</v>
      </c>
      <c r="C23" s="19"/>
      <c r="D23" s="16"/>
      <c r="E23" s="36">
        <v>22303.73</v>
      </c>
      <c r="F23" s="5"/>
      <c r="G23" s="150"/>
      <c r="H23" s="146">
        <v>0.0</v>
      </c>
      <c r="I23" s="151"/>
      <c r="J23" s="147">
        <f>I7/I24</f>
        <v>0.06169769774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/>
      <c r="B24" s="166" t="s">
        <v>128</v>
      </c>
      <c r="C24" s="19"/>
      <c r="D24" s="16"/>
      <c r="E24" s="36">
        <v>77277.54</v>
      </c>
      <c r="F24" s="5"/>
      <c r="G24" s="143" t="s">
        <v>18</v>
      </c>
      <c r="H24" s="167">
        <f>sum(H7:H23)</f>
        <v>241</v>
      </c>
      <c r="I24" s="168">
        <f t="shared" ref="I24:J24" si="1">SUM(I7:I23)</f>
        <v>72053.58</v>
      </c>
      <c r="J24" s="169">
        <f t="shared" si="1"/>
        <v>1.308488489</v>
      </c>
      <c r="K24" s="5"/>
      <c r="L24" s="5"/>
      <c r="M24" s="5"/>
      <c r="N24" s="5"/>
      <c r="O24" s="5"/>
      <c r="P24" s="5"/>
      <c r="Q24" s="5"/>
      <c r="R24" s="5"/>
      <c r="S24" s="5"/>
      <c r="T24" s="5"/>
    </row>
  </sheetData>
  <mergeCells count="13">
    <mergeCell ref="B8:D8"/>
    <mergeCell ref="B9:D9"/>
    <mergeCell ref="B21:E21"/>
    <mergeCell ref="B22:D22"/>
    <mergeCell ref="B23:D23"/>
    <mergeCell ref="B24:D24"/>
    <mergeCell ref="C1:D1"/>
    <mergeCell ref="F1:I1"/>
    <mergeCell ref="B3:J3"/>
    <mergeCell ref="B5:E5"/>
    <mergeCell ref="G5:J5"/>
    <mergeCell ref="B6:D6"/>
    <mergeCell ref="B7:D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50.43"/>
  </cols>
  <sheetData>
    <row r="1">
      <c r="A1" s="127"/>
      <c r="B1" s="129" t="s">
        <v>2</v>
      </c>
      <c r="C1" s="130">
        <v>45318.0</v>
      </c>
      <c r="D1" s="16"/>
      <c r="E1" s="158" t="s">
        <v>90</v>
      </c>
      <c r="F1" s="132" t="s">
        <v>129</v>
      </c>
      <c r="G1" s="19"/>
      <c r="H1" s="19"/>
      <c r="I1" s="1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127"/>
      <c r="B2" s="133"/>
      <c r="C2" s="134"/>
      <c r="D2" s="134"/>
      <c r="E2" s="134"/>
      <c r="F2" s="134"/>
      <c r="G2" s="134"/>
      <c r="H2" s="134"/>
      <c r="I2" s="13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127"/>
      <c r="B3" s="138" t="s">
        <v>5</v>
      </c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127"/>
      <c r="B4" s="127"/>
      <c r="C4" s="127"/>
      <c r="D4" s="139"/>
      <c r="E4" s="127"/>
      <c r="F4" s="127"/>
      <c r="G4" s="127"/>
      <c r="H4" s="134"/>
      <c r="I4" s="13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5"/>
      <c r="B5" s="141" t="s">
        <v>6</v>
      </c>
      <c r="C5" s="4"/>
      <c r="D5" s="4"/>
      <c r="E5" s="4"/>
      <c r="F5" s="5"/>
      <c r="G5" s="141" t="s">
        <v>92</v>
      </c>
      <c r="H5" s="4"/>
      <c r="I5" s="4"/>
      <c r="J5" s="4"/>
      <c r="K5" s="5"/>
      <c r="L5" s="5"/>
      <c r="M5" s="5"/>
      <c r="N5" s="5" t="s">
        <v>130</v>
      </c>
      <c r="O5" s="5" t="s">
        <v>131</v>
      </c>
      <c r="P5" s="5"/>
      <c r="Q5" s="5" t="s">
        <v>130</v>
      </c>
      <c r="R5" s="5" t="s">
        <v>132</v>
      </c>
      <c r="S5" s="5"/>
      <c r="T5" s="5"/>
      <c r="U5" s="5"/>
    </row>
    <row r="6">
      <c r="A6" s="5"/>
      <c r="B6" s="142" t="s">
        <v>8</v>
      </c>
      <c r="C6" s="19"/>
      <c r="D6" s="16"/>
      <c r="E6" s="36">
        <v>95713.83</v>
      </c>
      <c r="F6" s="5"/>
      <c r="G6" s="143" t="s">
        <v>93</v>
      </c>
      <c r="H6" s="177" t="s">
        <v>94</v>
      </c>
      <c r="I6" s="178" t="s">
        <v>8</v>
      </c>
      <c r="J6" s="144" t="s">
        <v>95</v>
      </c>
      <c r="K6" s="5"/>
      <c r="L6" s="5"/>
      <c r="M6" s="5"/>
      <c r="N6" s="5" t="s">
        <v>82</v>
      </c>
      <c r="O6" s="174">
        <v>2.0</v>
      </c>
      <c r="P6" s="5"/>
      <c r="Q6" s="5" t="s">
        <v>82</v>
      </c>
      <c r="R6" s="175">
        <v>499.98</v>
      </c>
      <c r="S6" s="5" t="s">
        <v>23</v>
      </c>
      <c r="T6" s="175">
        <f t="shared" ref="T6:T7" si="1">R10</f>
        <v>1439.88</v>
      </c>
      <c r="U6" s="5"/>
    </row>
    <row r="7">
      <c r="A7" s="5"/>
      <c r="B7" s="142" t="s">
        <v>96</v>
      </c>
      <c r="C7" s="19"/>
      <c r="D7" s="16"/>
      <c r="E7" s="36">
        <v>6877.28</v>
      </c>
      <c r="F7" s="5"/>
      <c r="G7" s="173" t="s">
        <v>69</v>
      </c>
      <c r="H7" s="179">
        <v>1.0</v>
      </c>
      <c r="I7" s="39">
        <f t="shared" ref="I7:I23" si="2">H7*L7</f>
        <v>187.99</v>
      </c>
      <c r="J7" s="147">
        <f>I7/I28</f>
        <v>0.001964083978</v>
      </c>
      <c r="K7" s="5"/>
      <c r="L7" s="39">
        <v>187.99</v>
      </c>
      <c r="M7" s="5"/>
      <c r="N7" s="5" t="s">
        <v>133</v>
      </c>
      <c r="O7" s="174">
        <v>3.0</v>
      </c>
      <c r="P7" s="5"/>
      <c r="Q7" s="5" t="s">
        <v>133</v>
      </c>
      <c r="R7" s="175">
        <v>509.97</v>
      </c>
      <c r="S7" s="5" t="s">
        <v>30</v>
      </c>
      <c r="T7" s="126">
        <f t="shared" si="1"/>
        <v>3195.83</v>
      </c>
      <c r="U7" s="5"/>
    </row>
    <row r="8">
      <c r="A8" s="5"/>
      <c r="B8" s="142" t="s">
        <v>24</v>
      </c>
      <c r="C8" s="19"/>
      <c r="D8" s="16"/>
      <c r="E8" s="61">
        <v>-851.19</v>
      </c>
      <c r="F8" s="5"/>
      <c r="G8" s="173" t="s">
        <v>71</v>
      </c>
      <c r="H8" s="179">
        <v>4.0</v>
      </c>
      <c r="I8" s="39">
        <f t="shared" si="2"/>
        <v>751.96</v>
      </c>
      <c r="J8" s="147">
        <f>I8/I28</f>
        <v>0.007856335913</v>
      </c>
      <c r="K8" s="5"/>
      <c r="L8" s="39">
        <v>187.99</v>
      </c>
      <c r="M8" s="5"/>
      <c r="N8" s="5" t="s">
        <v>65</v>
      </c>
      <c r="O8" s="174">
        <v>11.0</v>
      </c>
      <c r="P8" s="5"/>
      <c r="Q8" s="5" t="s">
        <v>65</v>
      </c>
      <c r="R8" s="175">
        <v>549.89</v>
      </c>
      <c r="S8" s="5" t="s">
        <v>134</v>
      </c>
      <c r="T8" s="175">
        <f>R13</f>
        <v>20239.56</v>
      </c>
      <c r="U8" s="5"/>
    </row>
    <row r="9">
      <c r="A9" s="5"/>
      <c r="B9" s="153" t="s">
        <v>28</v>
      </c>
      <c r="C9" s="67"/>
      <c r="D9" s="67"/>
      <c r="E9" s="68">
        <f>E6+E7+E8</f>
        <v>101739.92</v>
      </c>
      <c r="F9" s="5"/>
      <c r="G9" s="173" t="s">
        <v>73</v>
      </c>
      <c r="H9" s="179">
        <v>4.0</v>
      </c>
      <c r="I9" s="39">
        <f t="shared" si="2"/>
        <v>751.96</v>
      </c>
      <c r="J9" s="147">
        <f>I9/I28</f>
        <v>0.007856335913</v>
      </c>
      <c r="K9" s="5"/>
      <c r="L9" s="39">
        <v>187.99</v>
      </c>
      <c r="M9" s="5"/>
      <c r="N9" s="5" t="s">
        <v>83</v>
      </c>
      <c r="O9" s="174">
        <v>12.0</v>
      </c>
      <c r="P9" s="5"/>
      <c r="Q9" s="5" t="s">
        <v>83</v>
      </c>
      <c r="R9" s="175">
        <v>3479.88</v>
      </c>
      <c r="S9" s="5" t="s">
        <v>135</v>
      </c>
      <c r="T9" s="175">
        <f>R9</f>
        <v>3479.88</v>
      </c>
      <c r="U9" s="5"/>
    </row>
    <row r="10">
      <c r="A10" s="5"/>
      <c r="B10" s="5"/>
      <c r="C10" s="5"/>
      <c r="D10" s="5"/>
      <c r="E10" s="5"/>
      <c r="F10" s="5"/>
      <c r="G10" s="173" t="s">
        <v>74</v>
      </c>
      <c r="H10" s="179">
        <v>1.0</v>
      </c>
      <c r="I10" s="39">
        <f t="shared" si="2"/>
        <v>187.99</v>
      </c>
      <c r="J10" s="147">
        <f>I10/I28</f>
        <v>0.001964083978</v>
      </c>
      <c r="K10" s="5"/>
      <c r="L10" s="39">
        <v>187.99</v>
      </c>
      <c r="M10" s="5"/>
      <c r="N10" s="5" t="s">
        <v>70</v>
      </c>
      <c r="O10" s="174">
        <v>12.0</v>
      </c>
      <c r="P10" s="5"/>
      <c r="Q10" s="5" t="s">
        <v>70</v>
      </c>
      <c r="R10" s="175">
        <v>1439.88</v>
      </c>
      <c r="S10" s="5" t="s">
        <v>136</v>
      </c>
      <c r="T10" s="126">
        <f>R14</f>
        <v>55439.12</v>
      </c>
      <c r="U10" s="5"/>
    </row>
    <row r="11">
      <c r="A11" s="5"/>
      <c r="B11" s="5"/>
      <c r="C11" s="5"/>
      <c r="D11" s="5"/>
      <c r="E11" s="5"/>
      <c r="F11" s="5"/>
      <c r="G11" s="173" t="s">
        <v>76</v>
      </c>
      <c r="H11" s="179">
        <v>1.0</v>
      </c>
      <c r="I11" s="39">
        <f t="shared" si="2"/>
        <v>187.99</v>
      </c>
      <c r="J11" s="147">
        <f>I11/I28</f>
        <v>0.001964083978</v>
      </c>
      <c r="K11" s="5"/>
      <c r="L11" s="39">
        <v>187.99</v>
      </c>
      <c r="M11" s="5"/>
      <c r="N11" s="5" t="s">
        <v>137</v>
      </c>
      <c r="O11" s="174">
        <v>17.0</v>
      </c>
      <c r="P11" s="5"/>
      <c r="Q11" s="5" t="s">
        <v>137</v>
      </c>
      <c r="R11" s="126">
        <f>SUM(I7:I13)</f>
        <v>3195.83</v>
      </c>
      <c r="S11" s="5" t="s">
        <v>138</v>
      </c>
      <c r="T11" s="175">
        <f>R12+R6+R7+R8</f>
        <v>11919.56</v>
      </c>
      <c r="U11" s="5"/>
    </row>
    <row r="12">
      <c r="A12" s="5"/>
      <c r="B12" s="5"/>
      <c r="C12" s="5"/>
      <c r="D12" s="5"/>
      <c r="E12" s="5"/>
      <c r="F12" s="5"/>
      <c r="G12" s="173" t="s">
        <v>77</v>
      </c>
      <c r="H12" s="179">
        <v>2.0</v>
      </c>
      <c r="I12" s="39">
        <f t="shared" si="2"/>
        <v>375.98</v>
      </c>
      <c r="J12" s="147">
        <f>I12/I28</f>
        <v>0.003928167957</v>
      </c>
      <c r="K12" s="5"/>
      <c r="L12" s="39">
        <v>187.99</v>
      </c>
      <c r="M12" s="5"/>
      <c r="N12" s="5" t="s">
        <v>139</v>
      </c>
      <c r="O12" s="174">
        <v>28.0</v>
      </c>
      <c r="P12" s="5"/>
      <c r="Q12" s="5" t="s">
        <v>139</v>
      </c>
      <c r="R12" s="175">
        <v>10359.72</v>
      </c>
      <c r="S12" s="5"/>
      <c r="T12" s="5"/>
      <c r="U12" s="5"/>
    </row>
    <row r="13">
      <c r="A13" s="5"/>
      <c r="B13" s="5"/>
      <c r="C13" s="5"/>
      <c r="D13" s="5"/>
      <c r="E13" s="5"/>
      <c r="F13" s="5"/>
      <c r="G13" s="173" t="s">
        <v>78</v>
      </c>
      <c r="H13" s="179">
        <v>4.0</v>
      </c>
      <c r="I13" s="39">
        <f t="shared" si="2"/>
        <v>751.96</v>
      </c>
      <c r="J13" s="147">
        <f>I13/I28</f>
        <v>0.007856335913</v>
      </c>
      <c r="K13" s="5"/>
      <c r="L13" s="39">
        <v>187.99</v>
      </c>
      <c r="M13" s="5"/>
      <c r="N13" s="5" t="s">
        <v>140</v>
      </c>
      <c r="O13" s="174">
        <v>44.0</v>
      </c>
      <c r="P13" s="5"/>
      <c r="Q13" s="5" t="s">
        <v>140</v>
      </c>
      <c r="R13" s="175">
        <v>20239.56</v>
      </c>
      <c r="S13" s="5"/>
      <c r="T13" s="5"/>
      <c r="U13" s="5"/>
    </row>
    <row r="14">
      <c r="A14" s="5"/>
      <c r="B14" s="5"/>
      <c r="C14" s="5"/>
      <c r="D14" s="5"/>
      <c r="E14" s="5"/>
      <c r="F14" s="5"/>
      <c r="G14" s="173" t="s">
        <v>141</v>
      </c>
      <c r="H14" s="179">
        <v>28.0</v>
      </c>
      <c r="I14" s="39">
        <f t="shared" si="2"/>
        <v>10359.72</v>
      </c>
      <c r="J14" s="147">
        <f>I14/I28</f>
        <v>0.1082363959</v>
      </c>
      <c r="K14" s="5"/>
      <c r="L14" s="180">
        <v>369.99</v>
      </c>
      <c r="M14" s="5"/>
      <c r="N14" s="5" t="s">
        <v>142</v>
      </c>
      <c r="O14" s="174">
        <v>88.0</v>
      </c>
      <c r="P14" s="5"/>
      <c r="Q14" s="5" t="s">
        <v>142</v>
      </c>
      <c r="R14" s="126">
        <f>SUM(I15:I17)</f>
        <v>55439.12</v>
      </c>
      <c r="S14" s="5"/>
      <c r="T14" s="5"/>
      <c r="U14" s="176">
        <v>77172.56</v>
      </c>
    </row>
    <row r="15">
      <c r="A15" s="5"/>
      <c r="B15" s="5"/>
      <c r="C15" s="5"/>
      <c r="D15" s="5"/>
      <c r="E15" s="5"/>
      <c r="F15" s="5"/>
      <c r="G15" s="181" t="s">
        <v>143</v>
      </c>
      <c r="H15" s="179">
        <v>17.0</v>
      </c>
      <c r="I15" s="39">
        <f t="shared" si="2"/>
        <v>10709.83</v>
      </c>
      <c r="J15" s="147">
        <f>I15/I28</f>
        <v>0.111894279</v>
      </c>
      <c r="K15" s="5"/>
      <c r="L15" s="180">
        <v>629.99</v>
      </c>
      <c r="M15" s="5"/>
      <c r="N15" s="5"/>
      <c r="O15" s="5"/>
      <c r="P15" s="5"/>
      <c r="Q15" s="5"/>
      <c r="R15" s="5"/>
      <c r="S15" s="5"/>
      <c r="T15" s="5"/>
      <c r="U15" s="5"/>
    </row>
    <row r="16">
      <c r="A16" s="5"/>
      <c r="B16" s="5"/>
      <c r="C16" s="5"/>
      <c r="D16" s="5"/>
      <c r="E16" s="5"/>
      <c r="F16" s="5"/>
      <c r="G16" s="181" t="s">
        <v>144</v>
      </c>
      <c r="H16" s="179">
        <v>41.0</v>
      </c>
      <c r="I16" s="39">
        <f t="shared" si="2"/>
        <v>25829.59</v>
      </c>
      <c r="J16" s="147">
        <f>I16/I28</f>
        <v>0.2698626729</v>
      </c>
      <c r="K16" s="5"/>
      <c r="L16" s="180">
        <v>629.99</v>
      </c>
      <c r="M16" s="5"/>
      <c r="N16" s="5" t="s">
        <v>82</v>
      </c>
      <c r="O16" s="126">
        <f>127.41*2 </f>
        <v>254.82</v>
      </c>
      <c r="P16" s="5"/>
      <c r="Q16" s="5"/>
      <c r="R16" s="5"/>
      <c r="S16" s="5"/>
      <c r="T16" s="5"/>
      <c r="U16" s="126">
        <f>I28-U14</f>
        <v>18541.27</v>
      </c>
    </row>
    <row r="17">
      <c r="A17" s="5"/>
      <c r="B17" s="5"/>
      <c r="C17" s="5"/>
      <c r="D17" s="5"/>
      <c r="E17" s="5"/>
      <c r="F17" s="5"/>
      <c r="G17" s="181" t="s">
        <v>145</v>
      </c>
      <c r="H17" s="179">
        <v>30.0</v>
      </c>
      <c r="I17" s="39">
        <f t="shared" si="2"/>
        <v>18899.7</v>
      </c>
      <c r="J17" s="147">
        <f>I17/I28</f>
        <v>0.1974604924</v>
      </c>
      <c r="K17" s="5"/>
      <c r="L17" s="180">
        <v>629.99</v>
      </c>
      <c r="M17" s="5"/>
      <c r="N17" s="5" t="s">
        <v>133</v>
      </c>
      <c r="O17" s="126">
        <f>3*64.6</f>
        <v>193.8</v>
      </c>
      <c r="P17" s="5"/>
      <c r="Q17" s="5"/>
      <c r="R17" s="5"/>
      <c r="S17" s="5"/>
      <c r="T17" s="5"/>
      <c r="U17" s="5"/>
    </row>
    <row r="18">
      <c r="A18" s="5"/>
      <c r="B18" s="5"/>
      <c r="C18" s="5"/>
      <c r="D18" s="5"/>
      <c r="E18" s="5"/>
      <c r="F18" s="5"/>
      <c r="G18" s="173" t="s">
        <v>80</v>
      </c>
      <c r="H18" s="179">
        <v>44.0</v>
      </c>
      <c r="I18" s="39">
        <f t="shared" si="2"/>
        <v>20239.56</v>
      </c>
      <c r="J18" s="147">
        <f>I18/I28</f>
        <v>0.2114590964</v>
      </c>
      <c r="K18" s="5"/>
      <c r="L18" s="180">
        <v>459.99</v>
      </c>
      <c r="M18" s="5"/>
      <c r="N18" s="5" t="s">
        <v>65</v>
      </c>
      <c r="O18" s="126">
        <f>11*11</f>
        <v>121</v>
      </c>
      <c r="P18" s="5"/>
      <c r="Q18" s="5"/>
      <c r="R18" s="5"/>
      <c r="S18" s="5"/>
      <c r="T18" s="5"/>
      <c r="U18" s="5"/>
    </row>
    <row r="19">
      <c r="A19" s="5"/>
      <c r="B19" s="5"/>
      <c r="C19" s="5"/>
      <c r="D19" s="5"/>
      <c r="E19" s="5"/>
      <c r="F19" s="5"/>
      <c r="G19" s="173" t="s">
        <v>83</v>
      </c>
      <c r="H19" s="179">
        <v>12.0</v>
      </c>
      <c r="I19" s="39">
        <f t="shared" si="2"/>
        <v>3479.88</v>
      </c>
      <c r="J19" s="147">
        <f>I19/I28</f>
        <v>0.03635712833</v>
      </c>
      <c r="K19" s="5"/>
      <c r="L19" s="39">
        <v>289.99</v>
      </c>
      <c r="M19" s="5"/>
      <c r="N19" s="5" t="s">
        <v>83</v>
      </c>
      <c r="O19" s="126">
        <f>117.96*12</f>
        <v>1415.52</v>
      </c>
      <c r="P19" s="5"/>
      <c r="Q19" s="5" t="s">
        <v>146</v>
      </c>
      <c r="R19" s="5"/>
      <c r="S19" s="5"/>
      <c r="T19" s="5"/>
      <c r="U19" s="5"/>
    </row>
    <row r="20">
      <c r="A20" s="5"/>
      <c r="B20" s="5"/>
      <c r="C20" s="5"/>
      <c r="D20" s="182"/>
      <c r="E20" s="5"/>
      <c r="F20" s="5"/>
      <c r="G20" s="173" t="s">
        <v>82</v>
      </c>
      <c r="H20" s="179">
        <v>2.0</v>
      </c>
      <c r="I20" s="39">
        <f t="shared" si="2"/>
        <v>499.98</v>
      </c>
      <c r="J20" s="147">
        <f>I20/I28</f>
        <v>0.005223696513</v>
      </c>
      <c r="K20" s="5"/>
      <c r="L20" s="180">
        <v>249.99</v>
      </c>
      <c r="M20" s="5"/>
      <c r="N20" s="5" t="s">
        <v>70</v>
      </c>
      <c r="O20" s="126">
        <f>42.75*12</f>
        <v>513</v>
      </c>
      <c r="P20" s="5"/>
      <c r="Q20" s="126">
        <f>SUM(O16:O30)</f>
        <v>36644.04</v>
      </c>
      <c r="R20" s="5"/>
      <c r="S20" s="5"/>
      <c r="T20" s="5"/>
      <c r="U20" s="5"/>
    </row>
    <row r="21">
      <c r="A21" s="5"/>
      <c r="B21" s="141" t="s">
        <v>122</v>
      </c>
      <c r="C21" s="4"/>
      <c r="D21" s="4"/>
      <c r="E21" s="4"/>
      <c r="F21" s="5"/>
      <c r="G21" s="173" t="s">
        <v>109</v>
      </c>
      <c r="H21" s="179">
        <v>12.0</v>
      </c>
      <c r="I21" s="39">
        <f t="shared" si="2"/>
        <v>1439.88</v>
      </c>
      <c r="J21" s="147">
        <f>I21/I28</f>
        <v>0.01504359401</v>
      </c>
      <c r="K21" s="5"/>
      <c r="L21" s="180">
        <v>119.99</v>
      </c>
      <c r="M21" s="5"/>
      <c r="N21" s="5" t="s">
        <v>69</v>
      </c>
      <c r="O21" s="126">
        <f>81.06*1     </f>
        <v>81.06</v>
      </c>
      <c r="P21" s="5"/>
      <c r="Q21" s="5"/>
      <c r="R21" s="5"/>
      <c r="S21" s="5"/>
      <c r="T21" s="5"/>
      <c r="U21" s="5"/>
    </row>
    <row r="22">
      <c r="A22" s="5"/>
      <c r="B22" s="166" t="s">
        <v>91</v>
      </c>
      <c r="C22" s="19"/>
      <c r="D22" s="16"/>
      <c r="E22" s="36">
        <v>46373.96</v>
      </c>
      <c r="F22" s="5"/>
      <c r="G22" s="173" t="s">
        <v>147</v>
      </c>
      <c r="H22" s="179">
        <v>3.0</v>
      </c>
      <c r="I22" s="39">
        <f t="shared" si="2"/>
        <v>149.97</v>
      </c>
      <c r="J22" s="147">
        <f>I22/I28</f>
        <v>0.001566858206</v>
      </c>
      <c r="K22" s="5"/>
      <c r="L22" s="174">
        <v>49.99</v>
      </c>
      <c r="M22" s="5"/>
      <c r="N22" s="5" t="s">
        <v>148</v>
      </c>
      <c r="O22" s="126">
        <f>4*76.24         </f>
        <v>304.96</v>
      </c>
      <c r="P22" s="5"/>
      <c r="Q22" s="5" t="s">
        <v>149</v>
      </c>
      <c r="R22" s="5"/>
      <c r="S22" s="5" t="s">
        <v>150</v>
      </c>
      <c r="T22" s="5"/>
      <c r="U22" s="5"/>
    </row>
    <row r="23">
      <c r="A23" s="5"/>
      <c r="B23" s="166" t="s">
        <v>127</v>
      </c>
      <c r="C23" s="19"/>
      <c r="D23" s="16"/>
      <c r="E23" s="36">
        <v>22303.73</v>
      </c>
      <c r="F23" s="5"/>
      <c r="G23" s="173" t="s">
        <v>151</v>
      </c>
      <c r="H23" s="179">
        <v>4.0</v>
      </c>
      <c r="I23" s="39">
        <f t="shared" si="2"/>
        <v>199.96</v>
      </c>
      <c r="J23" s="147">
        <f>I23/I28</f>
        <v>0.002089144275</v>
      </c>
      <c r="K23" s="5"/>
      <c r="L23" s="174">
        <v>49.99</v>
      </c>
      <c r="M23" s="5"/>
      <c r="N23" s="5" t="s">
        <v>152</v>
      </c>
      <c r="O23" s="126">
        <f>4*97.86         </f>
        <v>391.44</v>
      </c>
      <c r="P23" s="5"/>
      <c r="Q23" s="174">
        <f>35*199.8</f>
        <v>6993</v>
      </c>
      <c r="R23" s="5"/>
      <c r="S23" s="126">
        <f>Q20+Q27</f>
        <v>45168.93</v>
      </c>
      <c r="T23" s="5"/>
      <c r="U23" s="5"/>
    </row>
    <row r="24">
      <c r="A24" s="5"/>
      <c r="B24" s="183" t="s">
        <v>128</v>
      </c>
      <c r="C24" s="19"/>
      <c r="D24" s="16"/>
      <c r="E24" s="184">
        <v>77277.54</v>
      </c>
      <c r="F24" s="5"/>
      <c r="G24" s="173" t="s">
        <v>153</v>
      </c>
      <c r="H24" s="179">
        <v>3.0</v>
      </c>
      <c r="I24" s="39">
        <f>H24*L23</f>
        <v>149.97</v>
      </c>
      <c r="J24" s="147">
        <f>I24/I28</f>
        <v>0.001566858206</v>
      </c>
      <c r="K24" s="5"/>
      <c r="L24" s="174">
        <v>49.99</v>
      </c>
      <c r="M24" s="5"/>
      <c r="N24" s="5" t="s">
        <v>154</v>
      </c>
      <c r="O24" s="126">
        <v>87.66</v>
      </c>
      <c r="P24" s="5"/>
      <c r="Q24" s="174">
        <f>11*42.75</f>
        <v>470.25</v>
      </c>
      <c r="R24" s="5"/>
      <c r="S24" s="174">
        <v>46994.4</v>
      </c>
      <c r="T24" s="5"/>
      <c r="U24" s="5"/>
    </row>
    <row r="25">
      <c r="A25" s="5"/>
      <c r="B25" s="166" t="s">
        <v>155</v>
      </c>
      <c r="C25" s="19"/>
      <c r="D25" s="16"/>
      <c r="E25" s="36">
        <v>101739.92</v>
      </c>
      <c r="F25" s="5"/>
      <c r="G25" s="173" t="s">
        <v>156</v>
      </c>
      <c r="H25" s="179">
        <v>2.0</v>
      </c>
      <c r="I25" s="39">
        <f t="shared" ref="I25:I27" si="3">H25*L25</f>
        <v>339.98</v>
      </c>
      <c r="J25" s="147">
        <f>I25/I28</f>
        <v>0.003552046763</v>
      </c>
      <c r="K25" s="5"/>
      <c r="L25" s="174">
        <v>169.99</v>
      </c>
      <c r="M25" s="5"/>
      <c r="N25" s="5" t="s">
        <v>157</v>
      </c>
      <c r="O25" s="126">
        <v>97.86</v>
      </c>
      <c r="P25" s="5"/>
      <c r="Q25" s="174">
        <f>9*117.96</f>
        <v>1061.64</v>
      </c>
      <c r="R25" s="5"/>
      <c r="S25" s="126">
        <f>SUM(S23:S24)</f>
        <v>92163.33</v>
      </c>
      <c r="T25" s="5"/>
      <c r="U25" s="5"/>
    </row>
    <row r="26">
      <c r="A26" s="5"/>
      <c r="B26" s="5"/>
      <c r="C26" s="5"/>
      <c r="D26" s="5"/>
      <c r="E26" s="5"/>
      <c r="F26" s="5"/>
      <c r="G26" s="173" t="s">
        <v>158</v>
      </c>
      <c r="H26" s="179">
        <v>1.0</v>
      </c>
      <c r="I26" s="39">
        <f t="shared" si="3"/>
        <v>169.99</v>
      </c>
      <c r="J26" s="147">
        <f>I26/I28</f>
        <v>0.001776023381</v>
      </c>
      <c r="K26" s="5"/>
      <c r="L26" s="174">
        <v>169.99</v>
      </c>
      <c r="M26" s="5"/>
      <c r="N26" s="5" t="s">
        <v>159</v>
      </c>
      <c r="O26" s="126">
        <f>2*81.06</f>
        <v>162.12</v>
      </c>
      <c r="P26" s="5"/>
      <c r="Q26" s="5"/>
      <c r="R26" s="5"/>
      <c r="S26" s="5"/>
      <c r="T26" s="5"/>
      <c r="U26" s="5"/>
    </row>
    <row r="27">
      <c r="A27" s="5"/>
      <c r="B27" s="5"/>
      <c r="C27" s="5"/>
      <c r="D27" s="5"/>
      <c r="E27" s="5"/>
      <c r="F27" s="5"/>
      <c r="G27" s="173" t="s">
        <v>160</v>
      </c>
      <c r="H27" s="179">
        <v>1.0</v>
      </c>
      <c r="I27" s="39">
        <f t="shared" si="3"/>
        <v>49.99</v>
      </c>
      <c r="J27" s="147">
        <f>I27/I28</f>
        <v>0.0005222860688</v>
      </c>
      <c r="K27" s="5"/>
      <c r="L27" s="175">
        <v>49.99</v>
      </c>
      <c r="M27" s="5"/>
      <c r="N27" s="5" t="s">
        <v>161</v>
      </c>
      <c r="O27" s="126">
        <f>4*86.86</f>
        <v>347.44</v>
      </c>
      <c r="P27" s="5"/>
      <c r="Q27" s="174">
        <f>SUM(Q23:Q25)</f>
        <v>8524.89</v>
      </c>
      <c r="R27" s="5"/>
      <c r="S27" s="5"/>
      <c r="T27" s="5"/>
      <c r="U27" s="5"/>
    </row>
    <row r="28">
      <c r="A28" s="5"/>
      <c r="B28" s="5"/>
      <c r="C28" s="5"/>
      <c r="D28" s="5"/>
      <c r="E28" s="5"/>
      <c r="F28" s="5"/>
      <c r="G28" s="143" t="s">
        <v>18</v>
      </c>
      <c r="H28" s="167">
        <f>sum(H7:H27)</f>
        <v>217</v>
      </c>
      <c r="I28" s="168">
        <f t="shared" ref="I28:J28" si="4">SUM(I7:I27)</f>
        <v>95713.83</v>
      </c>
      <c r="J28" s="169">
        <f t="shared" si="4"/>
        <v>1</v>
      </c>
      <c r="K28" s="5"/>
      <c r="L28" s="5"/>
      <c r="M28" s="5"/>
      <c r="N28" s="5" t="s">
        <v>139</v>
      </c>
      <c r="O28" s="126">
        <f>28*142.46</f>
        <v>3988.88</v>
      </c>
      <c r="P28" s="5"/>
      <c r="Q28" s="5"/>
      <c r="R28" s="5"/>
      <c r="S28" s="5"/>
      <c r="T28" s="5"/>
      <c r="U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 t="s">
        <v>140</v>
      </c>
      <c r="O29" s="126">
        <f>119.8*44</f>
        <v>5271.2</v>
      </c>
      <c r="P29" s="5"/>
      <c r="Q29" s="5"/>
      <c r="R29" s="5"/>
      <c r="S29" s="5"/>
      <c r="T29" s="5"/>
      <c r="U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 t="s">
        <v>142</v>
      </c>
      <c r="O30" s="126">
        <f>266.06*88</f>
        <v>23413.28</v>
      </c>
      <c r="P30" s="5"/>
      <c r="Q30" s="5"/>
      <c r="R30" s="5"/>
      <c r="S30" s="5"/>
      <c r="T30" s="5"/>
      <c r="U30" s="5"/>
    </row>
  </sheetData>
  <mergeCells count="14">
    <mergeCell ref="B8:D8"/>
    <mergeCell ref="B9:D9"/>
    <mergeCell ref="B21:E21"/>
    <mergeCell ref="B22:D22"/>
    <mergeCell ref="B23:D23"/>
    <mergeCell ref="B24:D24"/>
    <mergeCell ref="B25:D25"/>
    <mergeCell ref="C1:D1"/>
    <mergeCell ref="F1:I1"/>
    <mergeCell ref="B3:J3"/>
    <mergeCell ref="B5:E5"/>
    <mergeCell ref="G5:J5"/>
    <mergeCell ref="B6:D6"/>
    <mergeCell ref="B7:D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7"/>
      <c r="B1" s="129" t="s">
        <v>2</v>
      </c>
      <c r="C1" s="130">
        <v>45708.0</v>
      </c>
      <c r="D1" s="16"/>
      <c r="E1" s="158" t="s">
        <v>90</v>
      </c>
      <c r="F1" s="132" t="s">
        <v>162</v>
      </c>
      <c r="G1" s="19"/>
      <c r="H1" s="19"/>
      <c r="I1" s="16"/>
      <c r="J1" s="5"/>
      <c r="K1" s="5"/>
      <c r="L1" s="5"/>
      <c r="M1" s="5"/>
      <c r="N1" s="5"/>
      <c r="O1" s="5"/>
      <c r="P1" s="5"/>
      <c r="Q1" s="5"/>
      <c r="R1" s="5"/>
    </row>
    <row r="2">
      <c r="A2" s="127"/>
      <c r="B2" s="133"/>
      <c r="C2" s="134"/>
      <c r="D2" s="134"/>
      <c r="E2" s="134"/>
      <c r="F2" s="134"/>
      <c r="G2" s="134"/>
      <c r="H2" s="134"/>
      <c r="I2" s="134"/>
      <c r="J2" s="5"/>
      <c r="K2" s="5"/>
      <c r="L2" s="5"/>
      <c r="M2" s="5"/>
      <c r="N2" s="5"/>
      <c r="O2" s="5"/>
      <c r="P2" s="5"/>
      <c r="Q2" s="5"/>
      <c r="R2" s="5"/>
    </row>
    <row r="3">
      <c r="A3" s="127"/>
      <c r="B3" s="138" t="s">
        <v>5</v>
      </c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</row>
    <row r="4">
      <c r="A4" s="127"/>
      <c r="B4" s="127"/>
      <c r="C4" s="127"/>
      <c r="D4" s="127"/>
      <c r="E4" s="127"/>
      <c r="F4" s="127"/>
      <c r="G4" s="127"/>
      <c r="H4" s="134"/>
      <c r="I4" s="134"/>
      <c r="J4" s="5"/>
      <c r="K4" s="5"/>
      <c r="L4" s="5"/>
      <c r="M4" s="5"/>
      <c r="N4" s="5"/>
      <c r="O4" s="5"/>
      <c r="P4" s="5"/>
      <c r="Q4" s="5"/>
      <c r="R4" s="5"/>
    </row>
    <row r="5">
      <c r="A5" s="5"/>
      <c r="B5" s="141" t="s">
        <v>6</v>
      </c>
      <c r="C5" s="4"/>
      <c r="D5" s="4"/>
      <c r="E5" s="4"/>
      <c r="F5" s="5"/>
      <c r="G5" s="141" t="s">
        <v>92</v>
      </c>
      <c r="H5" s="4"/>
      <c r="I5" s="4"/>
      <c r="J5" s="4"/>
      <c r="K5" s="5"/>
      <c r="L5" s="5"/>
      <c r="M5" s="5"/>
      <c r="N5" s="5"/>
      <c r="O5" s="5"/>
      <c r="P5" s="5"/>
      <c r="Q5" s="5"/>
      <c r="R5" s="5"/>
    </row>
    <row r="6">
      <c r="A6" s="5"/>
      <c r="B6" s="142" t="s">
        <v>8</v>
      </c>
      <c r="C6" s="19"/>
      <c r="D6" s="16"/>
      <c r="E6" s="36">
        <f>I32</f>
        <v>62078.4</v>
      </c>
      <c r="F6" s="5"/>
      <c r="G6" s="143" t="s">
        <v>93</v>
      </c>
      <c r="H6" s="144" t="s">
        <v>94</v>
      </c>
      <c r="I6" s="144" t="s">
        <v>8</v>
      </c>
      <c r="J6" s="144" t="s">
        <v>95</v>
      </c>
      <c r="K6" s="5"/>
      <c r="L6" s="5"/>
      <c r="M6" s="5"/>
      <c r="N6" s="5" t="s">
        <v>130</v>
      </c>
      <c r="O6" s="5" t="s">
        <v>131</v>
      </c>
      <c r="P6" s="5"/>
      <c r="Q6" s="5"/>
      <c r="R6" s="5"/>
    </row>
    <row r="7">
      <c r="A7" s="5"/>
      <c r="B7" s="142" t="s">
        <v>96</v>
      </c>
      <c r="C7" s="19"/>
      <c r="D7" s="16"/>
      <c r="E7" s="36">
        <v>4499.4</v>
      </c>
      <c r="F7" s="5"/>
      <c r="G7" s="173" t="s">
        <v>163</v>
      </c>
      <c r="H7" s="146">
        <v>96.0</v>
      </c>
      <c r="I7" s="39">
        <f t="shared" ref="I7:I31" si="1">H7*L7</f>
        <v>45119.04</v>
      </c>
      <c r="J7" s="147">
        <f>I7/I32</f>
        <v>0.7268073919</v>
      </c>
      <c r="K7" s="5"/>
      <c r="L7" s="174">
        <v>469.99</v>
      </c>
      <c r="M7" s="5"/>
      <c r="N7" s="173" t="s">
        <v>164</v>
      </c>
      <c r="O7" s="174">
        <v>2.0</v>
      </c>
      <c r="P7" s="5"/>
      <c r="Q7" s="5"/>
      <c r="R7" s="126">
        <f>I32-R11</f>
        <v>7689.58</v>
      </c>
    </row>
    <row r="8">
      <c r="A8" s="5"/>
      <c r="B8" s="142" t="s">
        <v>165</v>
      </c>
      <c r="C8" s="19"/>
      <c r="D8" s="16"/>
      <c r="E8" s="61">
        <v>-15.0</v>
      </c>
      <c r="F8" s="5"/>
      <c r="G8" s="173" t="s">
        <v>84</v>
      </c>
      <c r="H8" s="146">
        <v>11.0</v>
      </c>
      <c r="I8" s="39">
        <f t="shared" si="1"/>
        <v>6929.89</v>
      </c>
      <c r="J8" s="147">
        <f>I8/I32</f>
        <v>0.1116312598</v>
      </c>
      <c r="K8" s="5"/>
      <c r="L8" s="174">
        <v>629.99</v>
      </c>
      <c r="M8" s="5"/>
      <c r="N8" s="173" t="s">
        <v>134</v>
      </c>
      <c r="O8" s="174">
        <v>3.0</v>
      </c>
      <c r="P8" s="5"/>
      <c r="Q8" s="5"/>
      <c r="R8" s="5"/>
    </row>
    <row r="9">
      <c r="A9" s="5"/>
      <c r="B9" s="153" t="s">
        <v>28</v>
      </c>
      <c r="C9" s="67"/>
      <c r="D9" s="67"/>
      <c r="E9" s="68">
        <f>SUM(E6:E8)</f>
        <v>66562.8</v>
      </c>
      <c r="F9" s="5"/>
      <c r="G9" s="173" t="s">
        <v>134</v>
      </c>
      <c r="H9" s="146">
        <v>3.0</v>
      </c>
      <c r="I9" s="39">
        <f t="shared" si="1"/>
        <v>1379.97</v>
      </c>
      <c r="J9" s="147">
        <f>I9/I32</f>
        <v>0.02222947112</v>
      </c>
      <c r="K9" s="5"/>
      <c r="L9" s="174">
        <v>459.99</v>
      </c>
      <c r="M9" s="5"/>
      <c r="N9" s="173" t="s">
        <v>166</v>
      </c>
      <c r="O9" s="174">
        <v>6.0</v>
      </c>
      <c r="P9" s="5"/>
      <c r="Q9" s="5"/>
      <c r="R9" s="5"/>
    </row>
    <row r="10">
      <c r="A10" s="5"/>
      <c r="B10" s="5"/>
      <c r="C10" s="5"/>
      <c r="D10" s="5"/>
      <c r="E10" s="5"/>
      <c r="F10" s="5"/>
      <c r="G10" s="173" t="s">
        <v>167</v>
      </c>
      <c r="H10" s="146">
        <v>0.0</v>
      </c>
      <c r="I10" s="39">
        <f t="shared" si="1"/>
        <v>0</v>
      </c>
      <c r="J10" s="147">
        <f>I10/I32</f>
        <v>0</v>
      </c>
      <c r="K10" s="5"/>
      <c r="L10" s="174">
        <v>169.99</v>
      </c>
      <c r="M10" s="5"/>
      <c r="N10" s="173" t="s">
        <v>168</v>
      </c>
      <c r="O10" s="174">
        <v>8.0</v>
      </c>
      <c r="P10" s="5"/>
      <c r="Q10" s="5"/>
      <c r="R10" s="5"/>
    </row>
    <row r="11">
      <c r="A11" s="5"/>
      <c r="B11" s="5"/>
      <c r="C11" s="5"/>
      <c r="D11" s="5"/>
      <c r="E11" s="5"/>
      <c r="F11" s="5"/>
      <c r="G11" s="173" t="s">
        <v>169</v>
      </c>
      <c r="H11" s="146">
        <v>1.0</v>
      </c>
      <c r="I11" s="39">
        <f t="shared" si="1"/>
        <v>169.99</v>
      </c>
      <c r="J11" s="147">
        <f>I11/I32</f>
        <v>0.002738311554</v>
      </c>
      <c r="K11" s="5"/>
      <c r="L11" s="174">
        <v>169.99</v>
      </c>
      <c r="M11" s="5"/>
      <c r="N11" s="173" t="s">
        <v>45</v>
      </c>
      <c r="O11" s="174">
        <v>9.0</v>
      </c>
      <c r="P11" s="5"/>
      <c r="Q11" s="5"/>
      <c r="R11" s="176">
        <v>54388.82</v>
      </c>
    </row>
    <row r="12">
      <c r="A12" s="5"/>
      <c r="B12" s="5"/>
      <c r="C12" s="5"/>
      <c r="D12" s="5"/>
      <c r="E12" s="5"/>
      <c r="F12" s="5"/>
      <c r="G12" s="173" t="s">
        <v>170</v>
      </c>
      <c r="H12" s="146">
        <v>3.0</v>
      </c>
      <c r="I12" s="39">
        <f t="shared" si="1"/>
        <v>509.97</v>
      </c>
      <c r="J12" s="147">
        <f>I12/I32</f>
        <v>0.008214934663</v>
      </c>
      <c r="K12" s="5"/>
      <c r="L12" s="174">
        <v>169.99</v>
      </c>
      <c r="M12" s="5"/>
      <c r="N12" s="173" t="s">
        <v>171</v>
      </c>
      <c r="O12" s="174">
        <v>10.0</v>
      </c>
      <c r="P12" s="5"/>
      <c r="Q12" s="5"/>
      <c r="R12" s="5"/>
    </row>
    <row r="13">
      <c r="A13" s="5"/>
      <c r="B13" s="5"/>
      <c r="C13" s="5"/>
      <c r="D13" s="5"/>
      <c r="E13" s="5"/>
      <c r="F13" s="5"/>
      <c r="G13" s="173" t="s">
        <v>172</v>
      </c>
      <c r="H13" s="146">
        <v>0.0</v>
      </c>
      <c r="I13" s="39">
        <f t="shared" si="1"/>
        <v>0</v>
      </c>
      <c r="J13" s="147">
        <f>I13/I32</f>
        <v>0</v>
      </c>
      <c r="K13" s="5"/>
      <c r="L13" s="174">
        <v>169.99</v>
      </c>
      <c r="M13" s="5"/>
      <c r="N13" s="173" t="s">
        <v>84</v>
      </c>
      <c r="O13" s="174">
        <v>11.0</v>
      </c>
      <c r="P13" s="5"/>
      <c r="Q13" s="5"/>
      <c r="R13" s="5"/>
    </row>
    <row r="14">
      <c r="A14" s="5"/>
      <c r="B14" s="5"/>
      <c r="C14" s="5"/>
      <c r="D14" s="5"/>
      <c r="E14" s="5"/>
      <c r="F14" s="5"/>
      <c r="G14" s="173" t="s">
        <v>173</v>
      </c>
      <c r="H14" s="146">
        <v>2.0</v>
      </c>
      <c r="I14" s="39">
        <f t="shared" si="1"/>
        <v>339.98</v>
      </c>
      <c r="J14" s="147">
        <f>I14/I32</f>
        <v>0.005476623109</v>
      </c>
      <c r="K14" s="5"/>
      <c r="L14" s="174">
        <v>169.99</v>
      </c>
      <c r="M14" s="5"/>
      <c r="N14" s="173" t="s">
        <v>30</v>
      </c>
      <c r="O14" s="174">
        <v>15.0</v>
      </c>
      <c r="P14" s="5"/>
      <c r="Q14" s="5"/>
      <c r="R14" s="5"/>
    </row>
    <row r="15">
      <c r="A15" s="5"/>
      <c r="B15" s="5"/>
      <c r="C15" s="5"/>
      <c r="D15" s="5"/>
      <c r="E15" s="5"/>
      <c r="F15" s="5"/>
      <c r="G15" s="173" t="s">
        <v>174</v>
      </c>
      <c r="H15" s="146">
        <v>0.0</v>
      </c>
      <c r="I15" s="39">
        <f t="shared" si="1"/>
        <v>0</v>
      </c>
      <c r="J15" s="147">
        <f>I15/I32</f>
        <v>0</v>
      </c>
      <c r="K15" s="5"/>
      <c r="L15" s="174">
        <v>169.99</v>
      </c>
      <c r="M15" s="5"/>
      <c r="N15" s="173" t="s">
        <v>163</v>
      </c>
      <c r="O15" s="174">
        <v>96.0</v>
      </c>
      <c r="P15" s="5"/>
      <c r="Q15" s="5"/>
      <c r="R15" s="5"/>
    </row>
    <row r="16">
      <c r="A16" s="5"/>
      <c r="B16" s="5"/>
      <c r="C16" s="5"/>
      <c r="D16" s="5"/>
      <c r="E16" s="5"/>
      <c r="F16" s="5"/>
      <c r="G16" s="173" t="s">
        <v>175</v>
      </c>
      <c r="H16" s="146">
        <v>0.0</v>
      </c>
      <c r="I16" s="39">
        <f t="shared" si="1"/>
        <v>0</v>
      </c>
      <c r="J16" s="147">
        <f>I16/I32</f>
        <v>0</v>
      </c>
      <c r="K16" s="5"/>
      <c r="L16" s="174">
        <v>187.99</v>
      </c>
      <c r="M16" s="5"/>
      <c r="N16" s="5"/>
      <c r="O16" s="5"/>
      <c r="P16" s="5"/>
      <c r="Q16" s="5"/>
      <c r="R16" s="5"/>
    </row>
    <row r="17">
      <c r="A17" s="5"/>
      <c r="B17" s="5"/>
      <c r="C17" s="5"/>
      <c r="D17" s="5"/>
      <c r="E17" s="5"/>
      <c r="F17" s="5"/>
      <c r="G17" s="173" t="s">
        <v>176</v>
      </c>
      <c r="H17" s="146">
        <v>0.0</v>
      </c>
      <c r="I17" s="39">
        <f t="shared" si="1"/>
        <v>0</v>
      </c>
      <c r="J17" s="147">
        <f>I17/I32</f>
        <v>0</v>
      </c>
      <c r="K17" s="5"/>
      <c r="L17" s="174">
        <v>187.99</v>
      </c>
      <c r="M17" s="5"/>
      <c r="N17" s="5" t="s">
        <v>130</v>
      </c>
      <c r="O17" s="5" t="s">
        <v>177</v>
      </c>
      <c r="P17" s="5"/>
      <c r="Q17" s="5"/>
      <c r="R17" s="5"/>
    </row>
    <row r="18">
      <c r="A18" s="5"/>
      <c r="B18" s="5"/>
      <c r="C18" s="5"/>
      <c r="D18" s="5"/>
      <c r="E18" s="5"/>
      <c r="F18" s="5"/>
      <c r="G18" s="173" t="s">
        <v>178</v>
      </c>
      <c r="H18" s="146">
        <v>2.0</v>
      </c>
      <c r="I18" s="39">
        <f t="shared" si="1"/>
        <v>375.98</v>
      </c>
      <c r="J18" s="147">
        <f>I18/I32</f>
        <v>0.006056534962</v>
      </c>
      <c r="K18" s="5"/>
      <c r="L18" s="174">
        <v>187.99</v>
      </c>
      <c r="M18" s="5"/>
      <c r="N18" s="173" t="s">
        <v>45</v>
      </c>
      <c r="O18" s="126">
        <f>SUM(I24:I29)</f>
        <v>449.91</v>
      </c>
      <c r="P18" s="5"/>
      <c r="Q18" s="5"/>
      <c r="R18" s="5"/>
    </row>
    <row r="19">
      <c r="A19" s="5"/>
      <c r="B19" s="5"/>
      <c r="C19" s="5"/>
      <c r="D19" s="5"/>
      <c r="E19" s="5"/>
      <c r="F19" s="5"/>
      <c r="G19" s="173" t="s">
        <v>179</v>
      </c>
      <c r="H19" s="146">
        <v>1.0</v>
      </c>
      <c r="I19" s="39">
        <f t="shared" si="1"/>
        <v>187.99</v>
      </c>
      <c r="J19" s="147">
        <f>I19/I32</f>
        <v>0.003028267481</v>
      </c>
      <c r="K19" s="5"/>
      <c r="L19" s="174">
        <v>187.99</v>
      </c>
      <c r="M19" s="5"/>
      <c r="N19" s="173" t="s">
        <v>164</v>
      </c>
      <c r="O19" s="126">
        <v>499.98</v>
      </c>
      <c r="P19" s="5"/>
      <c r="Q19" s="5"/>
      <c r="R19" s="5"/>
    </row>
    <row r="20">
      <c r="A20" s="5"/>
      <c r="B20" s="5"/>
      <c r="C20" s="5"/>
      <c r="D20" s="5"/>
      <c r="E20" s="5"/>
      <c r="F20" s="5"/>
      <c r="G20" s="173" t="s">
        <v>180</v>
      </c>
      <c r="H20" s="146">
        <v>1.0</v>
      </c>
      <c r="I20" s="39">
        <f t="shared" si="1"/>
        <v>187.99</v>
      </c>
      <c r="J20" s="147">
        <f>I20/I32</f>
        <v>0.003028267481</v>
      </c>
      <c r="K20" s="5"/>
      <c r="L20" s="174">
        <v>187.99</v>
      </c>
      <c r="M20" s="5"/>
      <c r="N20" s="173" t="s">
        <v>168</v>
      </c>
      <c r="O20" s="126">
        <v>959.92</v>
      </c>
      <c r="P20" s="5"/>
      <c r="Q20" s="5"/>
      <c r="R20" s="5"/>
    </row>
    <row r="21">
      <c r="A21" s="5"/>
      <c r="B21" s="5"/>
      <c r="C21" s="5"/>
      <c r="D21" s="5"/>
      <c r="E21" s="5"/>
      <c r="F21" s="5"/>
      <c r="G21" s="173" t="s">
        <v>181</v>
      </c>
      <c r="H21" s="146">
        <v>6.0</v>
      </c>
      <c r="I21" s="39">
        <f t="shared" si="1"/>
        <v>1127.94</v>
      </c>
      <c r="J21" s="147">
        <f>I21/I32</f>
        <v>0.01816960489</v>
      </c>
      <c r="K21" s="5"/>
      <c r="L21" s="174">
        <v>187.99</v>
      </c>
      <c r="M21" s="5"/>
      <c r="N21" s="173" t="s">
        <v>166</v>
      </c>
      <c r="O21" s="126">
        <f>SUM(I10:I15)</f>
        <v>1019.94</v>
      </c>
      <c r="P21" s="5"/>
      <c r="Q21" s="5"/>
      <c r="R21" s="5"/>
    </row>
    <row r="22">
      <c r="A22" s="5"/>
      <c r="B22" s="5"/>
      <c r="C22" s="5"/>
      <c r="D22" s="5"/>
      <c r="E22" s="5"/>
      <c r="F22" s="5"/>
      <c r="G22" s="173" t="s">
        <v>182</v>
      </c>
      <c r="H22" s="146">
        <v>5.0</v>
      </c>
      <c r="I22" s="39">
        <f t="shared" si="1"/>
        <v>939.95</v>
      </c>
      <c r="J22" s="147">
        <f>I22/I32</f>
        <v>0.01514133741</v>
      </c>
      <c r="K22" s="5"/>
      <c r="L22" s="174">
        <v>187.99</v>
      </c>
      <c r="M22" s="5"/>
      <c r="N22" s="173" t="s">
        <v>134</v>
      </c>
      <c r="O22" s="126">
        <v>1379.97</v>
      </c>
      <c r="P22" s="5"/>
      <c r="Q22" s="5"/>
      <c r="R22" s="5"/>
    </row>
    <row r="23">
      <c r="A23" s="5"/>
      <c r="B23" s="5"/>
      <c r="C23" s="5"/>
      <c r="D23" s="5"/>
      <c r="E23" s="5"/>
      <c r="F23" s="5"/>
      <c r="G23" s="173" t="s">
        <v>171</v>
      </c>
      <c r="H23" s="146">
        <v>10.0</v>
      </c>
      <c r="I23" s="39">
        <f t="shared" si="1"/>
        <v>2899.9</v>
      </c>
      <c r="J23" s="147">
        <f>I23/I32</f>
        <v>0.04671351066</v>
      </c>
      <c r="K23" s="5"/>
      <c r="L23" s="174">
        <v>289.99</v>
      </c>
      <c r="M23" s="5"/>
      <c r="N23" s="173" t="s">
        <v>30</v>
      </c>
      <c r="O23" s="126">
        <f>SUM(I16:I22)</f>
        <v>2819.85</v>
      </c>
      <c r="P23" s="5"/>
      <c r="Q23" s="5"/>
      <c r="R23" s="5"/>
    </row>
    <row r="24">
      <c r="A24" s="5"/>
      <c r="B24" s="5"/>
      <c r="C24" s="5"/>
      <c r="D24" s="5"/>
      <c r="E24" s="5"/>
      <c r="F24" s="5"/>
      <c r="G24" s="173" t="s">
        <v>183</v>
      </c>
      <c r="H24" s="146">
        <v>3.0</v>
      </c>
      <c r="I24" s="39">
        <f t="shared" si="1"/>
        <v>149.97</v>
      </c>
      <c r="J24" s="147">
        <f>I24/I32</f>
        <v>0.002415816129</v>
      </c>
      <c r="K24" s="5"/>
      <c r="L24" s="174">
        <v>49.99</v>
      </c>
      <c r="M24" s="5"/>
      <c r="N24" s="173" t="s">
        <v>171</v>
      </c>
      <c r="O24" s="126">
        <v>2899.9</v>
      </c>
      <c r="P24" s="5"/>
      <c r="Q24" s="5"/>
      <c r="R24" s="5"/>
    </row>
    <row r="25">
      <c r="A25" s="5"/>
      <c r="B25" s="5"/>
      <c r="C25" s="5"/>
      <c r="D25" s="5"/>
      <c r="E25" s="5"/>
      <c r="F25" s="5"/>
      <c r="G25" s="173" t="s">
        <v>184</v>
      </c>
      <c r="H25" s="146">
        <v>1.0</v>
      </c>
      <c r="I25" s="39">
        <f t="shared" si="1"/>
        <v>49.99</v>
      </c>
      <c r="J25" s="147">
        <f>I25/I32</f>
        <v>0.0008052720431</v>
      </c>
      <c r="K25" s="5"/>
      <c r="L25" s="174">
        <v>49.99</v>
      </c>
      <c r="M25" s="5"/>
      <c r="N25" s="173" t="s">
        <v>84</v>
      </c>
      <c r="O25" s="126">
        <v>6929.89</v>
      </c>
      <c r="P25" s="5"/>
      <c r="Q25" s="5"/>
      <c r="R25" s="5"/>
    </row>
    <row r="26">
      <c r="A26" s="5"/>
      <c r="B26" s="5"/>
      <c r="C26" s="5"/>
      <c r="D26" s="5"/>
      <c r="E26" s="5"/>
      <c r="F26" s="5"/>
      <c r="G26" s="173" t="s">
        <v>185</v>
      </c>
      <c r="H26" s="146">
        <v>1.0</v>
      </c>
      <c r="I26" s="39">
        <f t="shared" si="1"/>
        <v>49.99</v>
      </c>
      <c r="J26" s="147">
        <f>I26/I32</f>
        <v>0.0008052720431</v>
      </c>
      <c r="K26" s="5"/>
      <c r="L26" s="174">
        <v>49.99</v>
      </c>
      <c r="M26" s="5"/>
      <c r="N26" s="173" t="s">
        <v>163</v>
      </c>
      <c r="O26" s="126">
        <v>45119.04</v>
      </c>
      <c r="P26" s="5"/>
      <c r="Q26" s="5"/>
      <c r="R26" s="5"/>
    </row>
    <row r="27">
      <c r="A27" s="5"/>
      <c r="B27" s="185" t="s">
        <v>122</v>
      </c>
      <c r="C27" s="28"/>
      <c r="D27" s="28"/>
      <c r="E27" s="28"/>
      <c r="F27" s="5"/>
      <c r="G27" s="173" t="s">
        <v>186</v>
      </c>
      <c r="H27" s="146">
        <v>4.0</v>
      </c>
      <c r="I27" s="39">
        <f t="shared" si="1"/>
        <v>199.96</v>
      </c>
      <c r="J27" s="147">
        <f>I27/I32</f>
        <v>0.003221088172</v>
      </c>
      <c r="K27" s="5"/>
      <c r="L27" s="174">
        <v>49.99</v>
      </c>
      <c r="M27" s="5"/>
      <c r="N27" s="5"/>
      <c r="O27" s="5"/>
      <c r="P27" s="5"/>
      <c r="Q27" s="5"/>
      <c r="R27" s="5"/>
    </row>
    <row r="28">
      <c r="A28" s="5"/>
      <c r="B28" s="183" t="s">
        <v>91</v>
      </c>
      <c r="C28" s="19"/>
      <c r="D28" s="16"/>
      <c r="E28" s="184">
        <v>46373.96</v>
      </c>
      <c r="F28" s="5"/>
      <c r="G28" s="173" t="s">
        <v>187</v>
      </c>
      <c r="H28" s="146">
        <v>0.0</v>
      </c>
      <c r="I28" s="39">
        <f t="shared" si="1"/>
        <v>0</v>
      </c>
      <c r="J28" s="147">
        <f>I28/I32</f>
        <v>0</v>
      </c>
      <c r="K28" s="5"/>
      <c r="L28" s="174">
        <v>49.99</v>
      </c>
      <c r="M28" s="5"/>
      <c r="N28" s="5"/>
      <c r="O28" s="5"/>
      <c r="P28" s="5"/>
      <c r="Q28" s="5"/>
      <c r="R28" s="5"/>
    </row>
    <row r="29">
      <c r="A29" s="5"/>
      <c r="B29" s="183" t="s">
        <v>127</v>
      </c>
      <c r="C29" s="19"/>
      <c r="D29" s="16"/>
      <c r="E29" s="184">
        <v>22303.73</v>
      </c>
      <c r="F29" s="5"/>
      <c r="G29" s="173" t="s">
        <v>188</v>
      </c>
      <c r="H29" s="146">
        <v>0.0</v>
      </c>
      <c r="I29" s="39">
        <f t="shared" si="1"/>
        <v>0</v>
      </c>
      <c r="J29" s="147">
        <f>I29/I32</f>
        <v>0</v>
      </c>
      <c r="K29" s="5"/>
      <c r="L29" s="174">
        <v>49.99</v>
      </c>
      <c r="M29" s="5"/>
      <c r="N29" s="5"/>
      <c r="O29" s="5"/>
      <c r="P29" s="5"/>
      <c r="Q29" s="5"/>
      <c r="R29" s="5"/>
    </row>
    <row r="30">
      <c r="A30" s="5"/>
      <c r="B30" s="183" t="s">
        <v>128</v>
      </c>
      <c r="C30" s="19"/>
      <c r="D30" s="16"/>
      <c r="E30" s="184">
        <v>77277.54</v>
      </c>
      <c r="F30" s="5"/>
      <c r="G30" s="173" t="s">
        <v>168</v>
      </c>
      <c r="H30" s="146">
        <v>8.0</v>
      </c>
      <c r="I30" s="39">
        <f t="shared" si="1"/>
        <v>959.92</v>
      </c>
      <c r="J30" s="147">
        <f>I30/I32</f>
        <v>0.0154630274</v>
      </c>
      <c r="K30" s="5"/>
      <c r="L30" s="174">
        <v>119.99</v>
      </c>
      <c r="M30" s="5"/>
      <c r="N30" s="5"/>
      <c r="O30" s="5"/>
      <c r="P30" s="5"/>
      <c r="Q30" s="5"/>
      <c r="R30" s="5"/>
    </row>
    <row r="31">
      <c r="A31" s="5"/>
      <c r="B31" s="183" t="s">
        <v>155</v>
      </c>
      <c r="C31" s="19"/>
      <c r="D31" s="16"/>
      <c r="E31" s="184">
        <v>101739.92</v>
      </c>
      <c r="F31" s="5"/>
      <c r="G31" s="173" t="s">
        <v>164</v>
      </c>
      <c r="H31" s="146">
        <v>2.0</v>
      </c>
      <c r="I31" s="39">
        <f t="shared" si="1"/>
        <v>499.98</v>
      </c>
      <c r="J31" s="147">
        <f>I31/I32</f>
        <v>0.008054009124</v>
      </c>
      <c r="K31" s="5"/>
      <c r="L31" s="174">
        <v>249.99</v>
      </c>
      <c r="M31" s="5"/>
      <c r="N31" s="5"/>
      <c r="O31" s="5"/>
      <c r="P31" s="5"/>
      <c r="Q31" s="5"/>
      <c r="R31" s="5"/>
    </row>
    <row r="32">
      <c r="A32" s="5"/>
      <c r="B32" s="183" t="s">
        <v>189</v>
      </c>
      <c r="C32" s="19"/>
      <c r="D32" s="16"/>
      <c r="E32" s="184">
        <v>66564.084</v>
      </c>
      <c r="F32" s="5"/>
      <c r="G32" s="143" t="s">
        <v>18</v>
      </c>
      <c r="H32" s="167">
        <f>sum(H7:H31)</f>
        <v>160</v>
      </c>
      <c r="I32" s="168">
        <f t="shared" ref="I32:J32" si="2">SUM(I7:I31)</f>
        <v>62078.4</v>
      </c>
      <c r="J32" s="169">
        <f t="shared" si="2"/>
        <v>1</v>
      </c>
      <c r="K32" s="5"/>
      <c r="L32" s="5"/>
      <c r="M32" s="5"/>
      <c r="N32" s="5"/>
      <c r="O32" s="5"/>
      <c r="P32" s="5"/>
      <c r="Q32" s="5"/>
      <c r="R32" s="5"/>
    </row>
  </sheetData>
  <mergeCells count="15">
    <mergeCell ref="B8:D8"/>
    <mergeCell ref="B9:D9"/>
    <mergeCell ref="B27:E27"/>
    <mergeCell ref="B28:D28"/>
    <mergeCell ref="B29:D29"/>
    <mergeCell ref="B30:D30"/>
    <mergeCell ref="B31:D31"/>
    <mergeCell ref="B32:D32"/>
    <mergeCell ref="C1:D1"/>
    <mergeCell ref="F1:I1"/>
    <mergeCell ref="B3:J3"/>
    <mergeCell ref="B5:E5"/>
    <mergeCell ref="G5:J5"/>
    <mergeCell ref="B6:D6"/>
    <mergeCell ref="B7:D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6" t="s">
        <v>190</v>
      </c>
      <c r="B1" s="4"/>
      <c r="C1" s="4"/>
      <c r="D1" s="4"/>
      <c r="E1" s="4"/>
      <c r="F1" s="4"/>
      <c r="G1" s="4"/>
      <c r="H1" s="4"/>
      <c r="I1" s="5"/>
      <c r="J1" s="5"/>
      <c r="K1" s="5"/>
      <c r="L1" s="5"/>
      <c r="M1" s="5"/>
    </row>
    <row r="2">
      <c r="A2" s="187" t="s">
        <v>1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</row>
    <row r="3">
      <c r="A3" s="128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129" t="s">
        <v>2</v>
      </c>
      <c r="B4" s="157">
        <v>45755.0</v>
      </c>
      <c r="C4" s="16"/>
      <c r="D4" s="158" t="s">
        <v>90</v>
      </c>
      <c r="E4" s="132" t="s">
        <v>191</v>
      </c>
      <c r="F4" s="19"/>
      <c r="G4" s="19"/>
      <c r="H4" s="16"/>
      <c r="I4" s="5"/>
      <c r="J4" s="5"/>
      <c r="K4" s="5"/>
      <c r="L4" s="5"/>
      <c r="M4" s="5"/>
    </row>
    <row r="5">
      <c r="A5" s="133"/>
      <c r="B5" s="134"/>
      <c r="C5" s="134"/>
      <c r="D5" s="134"/>
      <c r="E5" s="134"/>
      <c r="F5" s="134"/>
      <c r="G5" s="134"/>
      <c r="H5" s="134"/>
      <c r="I5" s="5"/>
      <c r="J5" s="5"/>
      <c r="K5" s="5"/>
      <c r="L5" s="5"/>
      <c r="M5" s="5"/>
    </row>
    <row r="6">
      <c r="A6" s="138" t="s">
        <v>5</v>
      </c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5"/>
    </row>
    <row r="7">
      <c r="A7" s="127"/>
      <c r="B7" s="127"/>
      <c r="C7" s="127"/>
      <c r="D7" s="127"/>
      <c r="E7" s="127"/>
      <c r="F7" s="127"/>
      <c r="G7" s="134"/>
      <c r="H7" s="134"/>
      <c r="I7" s="5"/>
      <c r="J7" s="5"/>
      <c r="K7" s="5"/>
      <c r="L7" s="5"/>
      <c r="M7" s="5"/>
    </row>
    <row r="8">
      <c r="A8" s="141" t="s">
        <v>6</v>
      </c>
      <c r="B8" s="4"/>
      <c r="C8" s="4"/>
      <c r="D8" s="4"/>
      <c r="E8" s="5"/>
      <c r="F8" s="141" t="s">
        <v>92</v>
      </c>
      <c r="G8" s="4"/>
      <c r="H8" s="4"/>
      <c r="I8" s="4"/>
      <c r="J8" s="5"/>
      <c r="K8" s="5"/>
      <c r="L8" s="5"/>
      <c r="M8" s="5"/>
    </row>
    <row r="9">
      <c r="A9" s="142" t="s">
        <v>8</v>
      </c>
      <c r="B9" s="19"/>
      <c r="C9" s="16"/>
      <c r="D9" s="36">
        <f>SUM(H11:H26)</f>
        <v>204350.4</v>
      </c>
      <c r="E9" s="5"/>
      <c r="F9" s="143" t="s">
        <v>93</v>
      </c>
      <c r="G9" s="144" t="s">
        <v>94</v>
      </c>
      <c r="H9" s="144" t="s">
        <v>8</v>
      </c>
      <c r="I9" s="144" t="s">
        <v>95</v>
      </c>
      <c r="J9" s="5"/>
      <c r="K9" s="5"/>
      <c r="L9" s="5"/>
      <c r="M9" s="5"/>
    </row>
    <row r="10">
      <c r="A10" s="142" t="s">
        <v>192</v>
      </c>
      <c r="B10" s="19"/>
      <c r="C10" s="16"/>
      <c r="D10" s="61">
        <v>-20.0</v>
      </c>
      <c r="E10" s="5"/>
      <c r="F10" s="150"/>
      <c r="G10" s="188"/>
      <c r="H10" s="151"/>
      <c r="I10" s="189"/>
      <c r="J10" s="5"/>
      <c r="K10" s="190"/>
      <c r="L10" s="191">
        <f>D12-219144.26</f>
        <v>0</v>
      </c>
      <c r="M10" s="161"/>
    </row>
    <row r="11">
      <c r="A11" s="142" t="s">
        <v>96</v>
      </c>
      <c r="B11" s="19"/>
      <c r="C11" s="16"/>
      <c r="D11" s="36">
        <v>14813.86</v>
      </c>
      <c r="E11" s="5"/>
      <c r="F11" s="173" t="s">
        <v>163</v>
      </c>
      <c r="G11" s="146">
        <v>133.0</v>
      </c>
      <c r="H11" s="39">
        <f>G11*399.49</f>
        <v>53132.17</v>
      </c>
      <c r="I11" s="147">
        <f>H11/H27</f>
        <v>0.2600052165</v>
      </c>
      <c r="J11" s="5"/>
      <c r="K11" s="192"/>
      <c r="L11" s="5"/>
      <c r="M11" s="161"/>
    </row>
    <row r="12">
      <c r="A12" s="153" t="s">
        <v>28</v>
      </c>
      <c r="B12" s="67"/>
      <c r="C12" s="67"/>
      <c r="D12" s="193">
        <f>SUM(D8:D11)</f>
        <v>219144.26</v>
      </c>
      <c r="E12" s="5"/>
      <c r="F12" s="173" t="s">
        <v>75</v>
      </c>
      <c r="G12" s="146">
        <v>276.0</v>
      </c>
      <c r="H12" s="194">
        <f>G12*469.99</f>
        <v>129717.24</v>
      </c>
      <c r="I12" s="147">
        <f>H12/H27</f>
        <v>0.6347784981</v>
      </c>
      <c r="J12" s="5"/>
      <c r="K12" s="192"/>
      <c r="L12" s="5"/>
      <c r="M12" s="161"/>
    </row>
    <row r="13">
      <c r="A13" s="195"/>
      <c r="B13" s="67"/>
      <c r="C13" s="67"/>
      <c r="D13" s="196"/>
      <c r="E13" s="5"/>
      <c r="F13" s="173" t="s">
        <v>139</v>
      </c>
      <c r="G13" s="146">
        <v>7.0</v>
      </c>
      <c r="H13" s="164">
        <f>G13*369.99</f>
        <v>2589.93</v>
      </c>
      <c r="I13" s="147">
        <f>H13/H27</f>
        <v>0.01267396589</v>
      </c>
      <c r="J13" s="5"/>
      <c r="K13" s="192"/>
      <c r="L13" s="5"/>
      <c r="M13" s="161"/>
    </row>
    <row r="14">
      <c r="A14" s="5"/>
      <c r="B14" s="5"/>
      <c r="C14" s="5"/>
      <c r="D14" s="5"/>
      <c r="E14" s="5"/>
      <c r="F14" s="173" t="s">
        <v>134</v>
      </c>
      <c r="G14" s="146">
        <v>23.0</v>
      </c>
      <c r="H14" s="39">
        <f>G14*459.99</f>
        <v>10579.77</v>
      </c>
      <c r="I14" s="147">
        <f>H14/H27</f>
        <v>0.05177269044</v>
      </c>
      <c r="J14" s="5"/>
      <c r="K14" s="192"/>
      <c r="L14" s="5"/>
      <c r="M14" s="161"/>
    </row>
    <row r="15">
      <c r="A15" s="5"/>
      <c r="B15" s="5"/>
      <c r="C15" s="5"/>
      <c r="D15" s="5"/>
      <c r="E15" s="5"/>
      <c r="F15" s="173" t="s">
        <v>172</v>
      </c>
      <c r="G15" s="146">
        <v>4.0</v>
      </c>
      <c r="H15" s="39">
        <f>G15*169.99</f>
        <v>679.96</v>
      </c>
      <c r="I15" s="147">
        <f>H15/H27</f>
        <v>0.003327421918</v>
      </c>
      <c r="J15" s="5"/>
      <c r="K15" s="192"/>
      <c r="L15" s="5"/>
      <c r="M15" s="161"/>
    </row>
    <row r="16">
      <c r="A16" s="5"/>
      <c r="B16" s="5"/>
      <c r="C16" s="5"/>
      <c r="D16" s="5"/>
      <c r="E16" s="5"/>
      <c r="F16" s="173" t="s">
        <v>175</v>
      </c>
      <c r="G16" s="146">
        <v>4.0</v>
      </c>
      <c r="H16" s="39">
        <f t="shared" ref="H16:H19" si="1">G16*187.99</f>
        <v>751.96</v>
      </c>
      <c r="I16" s="147">
        <f>H16/H27</f>
        <v>0.003679757906</v>
      </c>
      <c r="J16" s="5"/>
      <c r="K16" s="5"/>
      <c r="L16" s="5"/>
      <c r="M16" s="5"/>
    </row>
    <row r="17">
      <c r="A17" s="5"/>
      <c r="B17" s="5"/>
      <c r="C17" s="5"/>
      <c r="D17" s="5"/>
      <c r="E17" s="5"/>
      <c r="F17" s="173" t="s">
        <v>176</v>
      </c>
      <c r="G17" s="146">
        <v>2.0</v>
      </c>
      <c r="H17" s="39">
        <f t="shared" si="1"/>
        <v>375.98</v>
      </c>
      <c r="I17" s="147">
        <f>H17/H27</f>
        <v>0.001839878953</v>
      </c>
      <c r="J17" s="5"/>
      <c r="K17" s="5"/>
      <c r="L17" s="165"/>
      <c r="M17" s="5"/>
    </row>
    <row r="18">
      <c r="A18" s="5"/>
      <c r="B18" s="5"/>
      <c r="C18" s="5"/>
      <c r="D18" s="5"/>
      <c r="E18" s="5"/>
      <c r="F18" s="173" t="s">
        <v>179</v>
      </c>
      <c r="G18" s="146">
        <v>5.0</v>
      </c>
      <c r="H18" s="39">
        <f t="shared" si="1"/>
        <v>939.95</v>
      </c>
      <c r="I18" s="147">
        <f>H18/H27</f>
        <v>0.004599697383</v>
      </c>
      <c r="J18" s="5"/>
      <c r="K18" s="5"/>
      <c r="L18" s="5"/>
      <c r="M18" s="5"/>
    </row>
    <row r="19">
      <c r="A19" s="166" t="s">
        <v>123</v>
      </c>
      <c r="B19" s="19"/>
      <c r="C19" s="16"/>
      <c r="D19" s="184">
        <v>66564.084</v>
      </c>
      <c r="E19" s="5"/>
      <c r="F19" s="173" t="s">
        <v>180</v>
      </c>
      <c r="G19" s="146">
        <v>3.0</v>
      </c>
      <c r="H19" s="39">
        <f t="shared" si="1"/>
        <v>563.97</v>
      </c>
      <c r="I19" s="147">
        <f>H19/H27</f>
        <v>0.00275981843</v>
      </c>
      <c r="J19" s="5"/>
      <c r="K19" s="5"/>
      <c r="L19" s="5"/>
      <c r="M19" s="5"/>
    </row>
    <row r="20">
      <c r="A20" s="166" t="s">
        <v>124</v>
      </c>
      <c r="B20" s="19"/>
      <c r="C20" s="16"/>
      <c r="D20" s="36">
        <v>0.0</v>
      </c>
      <c r="E20" s="5"/>
      <c r="F20" s="173" t="s">
        <v>171</v>
      </c>
      <c r="G20" s="146">
        <v>7.0</v>
      </c>
      <c r="H20" s="39">
        <f>G20*289.99</f>
        <v>2029.93</v>
      </c>
      <c r="I20" s="147">
        <f>H20/H27</f>
        <v>0.009933574879</v>
      </c>
      <c r="J20" s="5"/>
      <c r="K20" s="5"/>
      <c r="L20" s="5"/>
      <c r="M20" s="5"/>
    </row>
    <row r="21">
      <c r="A21" s="5"/>
      <c r="B21" s="5"/>
      <c r="C21" s="5"/>
      <c r="D21" s="5"/>
      <c r="E21" s="5"/>
      <c r="F21" s="173" t="s">
        <v>183</v>
      </c>
      <c r="G21" s="146">
        <v>3.0</v>
      </c>
      <c r="H21" s="39">
        <f t="shared" ref="H21:H24" si="2">G21*49.99</f>
        <v>149.97</v>
      </c>
      <c r="I21" s="147">
        <f>H21/H27</f>
        <v>0.0007338865008</v>
      </c>
      <c r="J21" s="5"/>
      <c r="K21" s="5"/>
      <c r="L21" s="5"/>
      <c r="M21" s="5"/>
    </row>
    <row r="22">
      <c r="A22" s="5"/>
      <c r="B22" s="5"/>
      <c r="C22" s="5"/>
      <c r="D22" s="5"/>
      <c r="E22" s="5"/>
      <c r="F22" s="173" t="s">
        <v>186</v>
      </c>
      <c r="G22" s="146">
        <v>20.0</v>
      </c>
      <c r="H22" s="39">
        <f t="shared" si="2"/>
        <v>999.8</v>
      </c>
      <c r="I22" s="147">
        <f>H22/H27</f>
        <v>0.004892576672</v>
      </c>
      <c r="J22" s="5"/>
      <c r="K22" s="5"/>
      <c r="L22" s="5"/>
      <c r="M22" s="5"/>
    </row>
    <row r="23">
      <c r="A23" s="5"/>
      <c r="B23" s="5"/>
      <c r="C23" s="5"/>
      <c r="D23" s="5"/>
      <c r="E23" s="5"/>
      <c r="F23" s="173" t="s">
        <v>187</v>
      </c>
      <c r="G23" s="146">
        <v>11.0</v>
      </c>
      <c r="H23" s="39">
        <f t="shared" si="2"/>
        <v>549.89</v>
      </c>
      <c r="I23" s="147">
        <f>H23/H27</f>
        <v>0.00269091717</v>
      </c>
      <c r="J23" s="5"/>
      <c r="K23" s="5"/>
      <c r="L23" s="5"/>
      <c r="M23" s="5"/>
    </row>
    <row r="24">
      <c r="A24" s="5"/>
      <c r="B24" s="5"/>
      <c r="C24" s="5"/>
      <c r="D24" s="5"/>
      <c r="E24" s="5"/>
      <c r="F24" s="173" t="s">
        <v>188</v>
      </c>
      <c r="G24" s="146">
        <v>4.0</v>
      </c>
      <c r="H24" s="39">
        <f t="shared" si="2"/>
        <v>199.96</v>
      </c>
      <c r="I24" s="147">
        <f>H24/H27</f>
        <v>0.0009785153344</v>
      </c>
      <c r="J24" s="5"/>
      <c r="K24" s="5"/>
      <c r="L24" s="5"/>
      <c r="M24" s="5"/>
    </row>
    <row r="25">
      <c r="A25" s="5"/>
      <c r="B25" s="5"/>
      <c r="C25" s="5"/>
      <c r="D25" s="5"/>
      <c r="E25" s="5"/>
      <c r="F25" s="173" t="s">
        <v>168</v>
      </c>
      <c r="G25" s="146">
        <v>7.0</v>
      </c>
      <c r="H25" s="39">
        <f>119.99*G25</f>
        <v>839.93</v>
      </c>
      <c r="I25" s="147">
        <f>H25/H27</f>
        <v>0.004110243973</v>
      </c>
      <c r="J25" s="5"/>
      <c r="K25" s="5"/>
      <c r="L25" s="5"/>
      <c r="M25" s="5"/>
    </row>
    <row r="26">
      <c r="A26" s="185" t="s">
        <v>122</v>
      </c>
      <c r="B26" s="28"/>
      <c r="C26" s="28"/>
      <c r="D26" s="28"/>
      <c r="E26" s="5"/>
      <c r="F26" s="173" t="s">
        <v>164</v>
      </c>
      <c r="G26" s="146">
        <v>1.0</v>
      </c>
      <c r="H26" s="39">
        <f>249.99</f>
        <v>249.99</v>
      </c>
      <c r="I26" s="147">
        <f>H26/H27</f>
        <v>0.00122333991</v>
      </c>
      <c r="J26" s="5"/>
      <c r="K26" s="5"/>
      <c r="L26" s="5"/>
      <c r="M26" s="5"/>
    </row>
    <row r="27">
      <c r="A27" s="183" t="s">
        <v>91</v>
      </c>
      <c r="B27" s="19"/>
      <c r="C27" s="16"/>
      <c r="D27" s="184">
        <v>46373.96</v>
      </c>
      <c r="E27" s="5"/>
      <c r="F27" s="143" t="s">
        <v>18</v>
      </c>
      <c r="G27" s="167">
        <f>sum(G11:G26)</f>
        <v>510</v>
      </c>
      <c r="H27" s="168">
        <f t="shared" ref="H27:I27" si="3">SUM(H11:H26)</f>
        <v>204350.4</v>
      </c>
      <c r="I27" s="169">
        <f t="shared" si="3"/>
        <v>1</v>
      </c>
      <c r="J27" s="5"/>
      <c r="K27" s="5"/>
      <c r="L27" s="5"/>
      <c r="M27" s="5"/>
    </row>
    <row r="28">
      <c r="A28" s="183" t="s">
        <v>127</v>
      </c>
      <c r="B28" s="19"/>
      <c r="C28" s="16"/>
      <c r="D28" s="184">
        <v>22303.73</v>
      </c>
      <c r="E28" s="5"/>
      <c r="F28" s="5"/>
      <c r="G28" s="5"/>
      <c r="H28" s="5"/>
      <c r="I28" s="5"/>
      <c r="J28" s="5"/>
      <c r="K28" s="5"/>
      <c r="L28" s="5"/>
      <c r="M28" s="5"/>
    </row>
    <row r="29">
      <c r="A29" s="183" t="s">
        <v>128</v>
      </c>
      <c r="B29" s="19"/>
      <c r="C29" s="16"/>
      <c r="D29" s="184">
        <v>77277.54</v>
      </c>
      <c r="E29" s="5"/>
      <c r="F29" s="5"/>
      <c r="G29" s="5"/>
      <c r="H29" s="5"/>
      <c r="I29" s="5"/>
      <c r="J29" s="5"/>
      <c r="K29" s="5"/>
      <c r="L29" s="5"/>
      <c r="M29" s="5"/>
    </row>
    <row r="30">
      <c r="A30" s="183" t="s">
        <v>155</v>
      </c>
      <c r="B30" s="19"/>
      <c r="C30" s="16"/>
      <c r="D30" s="184">
        <v>101739.92</v>
      </c>
      <c r="E30" s="5"/>
      <c r="F30" s="5"/>
      <c r="G30" s="5"/>
      <c r="H30" s="5"/>
      <c r="I30" s="5"/>
      <c r="J30" s="5"/>
      <c r="K30" s="5"/>
      <c r="L30" s="5"/>
      <c r="M30" s="5"/>
    </row>
    <row r="31">
      <c r="A31" s="183" t="s">
        <v>189</v>
      </c>
      <c r="B31" s="19"/>
      <c r="C31" s="16"/>
      <c r="D31" s="184">
        <v>66564.084</v>
      </c>
      <c r="E31" s="5"/>
      <c r="F31" s="5"/>
      <c r="G31" s="5"/>
      <c r="H31" s="5"/>
      <c r="I31" s="5"/>
      <c r="J31" s="5"/>
      <c r="K31" s="5"/>
      <c r="L31" s="5"/>
      <c r="M31" s="5"/>
    </row>
    <row r="32">
      <c r="A32" s="183" t="s">
        <v>191</v>
      </c>
      <c r="B32" s="19"/>
      <c r="C32" s="16"/>
      <c r="D32" s="184">
        <v>219144.26</v>
      </c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</sheetData>
  <mergeCells count="21">
    <mergeCell ref="A1:H1"/>
    <mergeCell ref="A2:H2"/>
    <mergeCell ref="B4:C4"/>
    <mergeCell ref="E4:H4"/>
    <mergeCell ref="A6:I6"/>
    <mergeCell ref="A8:D8"/>
    <mergeCell ref="F8:I8"/>
    <mergeCell ref="A26:D26"/>
    <mergeCell ref="A27:C27"/>
    <mergeCell ref="A28:C28"/>
    <mergeCell ref="A29:C29"/>
    <mergeCell ref="A30:C30"/>
    <mergeCell ref="A31:C31"/>
    <mergeCell ref="A32:C32"/>
    <mergeCell ref="A9:C9"/>
    <mergeCell ref="A10:C10"/>
    <mergeCell ref="A11:C11"/>
    <mergeCell ref="A12:C12"/>
    <mergeCell ref="A13:C13"/>
    <mergeCell ref="A19:C19"/>
    <mergeCell ref="A20:C20"/>
  </mergeCells>
  <drawing r:id="rId1"/>
</worksheet>
</file>